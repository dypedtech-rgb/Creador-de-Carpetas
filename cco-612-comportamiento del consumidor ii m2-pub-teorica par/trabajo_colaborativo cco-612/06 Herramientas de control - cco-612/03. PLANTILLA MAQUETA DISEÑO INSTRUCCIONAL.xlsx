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monica\Desktop\UNIFRANZ ONLINE\PLANTILLAS\"/>
    </mc:Choice>
  </mc:AlternateContent>
  <xr:revisionPtr revIDLastSave="0" documentId="13_ncr:1_{192F292E-A111-422D-810E-606D942EE2C4}" xr6:coauthVersionLast="47" xr6:coauthVersionMax="47" xr10:uidLastSave="{00000000-0000-0000-0000-000000000000}"/>
  <bookViews>
    <workbookView xWindow="444" yWindow="432" windowWidth="21540" windowHeight="11844" xr2:uid="{00000000-000D-0000-FFFF-FFFF00000000}"/>
  </bookViews>
  <sheets>
    <sheet name="Hoj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82" i="1" l="1"/>
  <c r="L182" i="1"/>
  <c r="F173" i="1"/>
  <c r="F174" i="1" s="1"/>
  <c r="G172" i="1"/>
  <c r="H171" i="1"/>
  <c r="H173" i="1" s="1"/>
  <c r="G170" i="1"/>
  <c r="G169" i="1"/>
  <c r="G173" i="1" s="1"/>
  <c r="F166" i="1"/>
  <c r="F167" i="1" s="1"/>
  <c r="G165" i="1"/>
  <c r="H164" i="1"/>
  <c r="H163" i="1"/>
  <c r="H162" i="1"/>
  <c r="H166" i="1" s="1"/>
  <c r="G161" i="1"/>
  <c r="G160" i="1"/>
  <c r="G166" i="1" s="1"/>
  <c r="F157" i="1"/>
  <c r="F158" i="1" s="1"/>
  <c r="G156" i="1"/>
  <c r="H155" i="1"/>
  <c r="H154" i="1"/>
  <c r="H153" i="1"/>
  <c r="H157" i="1" s="1"/>
  <c r="G152" i="1"/>
  <c r="G151" i="1"/>
  <c r="G157" i="1" s="1"/>
  <c r="F148" i="1"/>
  <c r="F149" i="1" s="1"/>
  <c r="G147" i="1"/>
  <c r="H146" i="1"/>
  <c r="H145" i="1"/>
  <c r="H148" i="1" s="1"/>
  <c r="G144" i="1"/>
  <c r="G143" i="1"/>
  <c r="G142" i="1"/>
  <c r="G148" i="1" s="1"/>
  <c r="F139" i="1"/>
  <c r="F140" i="1" s="1"/>
  <c r="H138" i="1"/>
  <c r="H139" i="1" s="1"/>
  <c r="G137" i="1"/>
  <c r="G136" i="1"/>
  <c r="G139" i="1" s="1"/>
  <c r="F133" i="1"/>
  <c r="F134" i="1" s="1"/>
  <c r="G132" i="1"/>
  <c r="H131" i="1"/>
  <c r="H130" i="1"/>
  <c r="H133" i="1" s="1"/>
  <c r="G129" i="1"/>
  <c r="G128" i="1"/>
  <c r="G127" i="1"/>
  <c r="G133" i="1" s="1"/>
  <c r="F124" i="1"/>
  <c r="F125" i="1" s="1"/>
  <c r="G123" i="1"/>
  <c r="H122" i="1"/>
  <c r="H124" i="1" s="1"/>
  <c r="G121" i="1"/>
  <c r="G120" i="1"/>
  <c r="G119" i="1"/>
  <c r="G118" i="1"/>
  <c r="G124" i="1" s="1"/>
  <c r="F115" i="1"/>
  <c r="F116" i="1" s="1"/>
  <c r="G114" i="1"/>
  <c r="H113" i="1"/>
  <c r="H112" i="1"/>
  <c r="H115" i="1" s="1"/>
  <c r="G111" i="1"/>
  <c r="G110" i="1"/>
  <c r="G109" i="1"/>
  <c r="G115" i="1" s="1"/>
  <c r="F106" i="1"/>
  <c r="F107" i="1" s="1"/>
  <c r="H105" i="1"/>
  <c r="H106" i="1" s="1"/>
  <c r="G104" i="1"/>
  <c r="G103" i="1"/>
  <c r="G106" i="1" s="1"/>
  <c r="F100" i="1"/>
  <c r="F101" i="1" s="1"/>
  <c r="G99" i="1"/>
  <c r="H98" i="1"/>
  <c r="H97" i="1"/>
  <c r="H100" i="1" s="1"/>
  <c r="G96" i="1"/>
  <c r="G95" i="1"/>
  <c r="G94" i="1"/>
  <c r="G100" i="1" s="1"/>
  <c r="F91" i="1"/>
  <c r="F92" i="1" s="1"/>
  <c r="H90" i="1"/>
  <c r="H89" i="1"/>
  <c r="H91" i="1" s="1"/>
  <c r="G88" i="1"/>
  <c r="G87" i="1"/>
  <c r="G86" i="1"/>
  <c r="G91" i="1" s="1"/>
  <c r="F83" i="1"/>
  <c r="F84" i="1" s="1"/>
  <c r="H82" i="1"/>
  <c r="H81" i="1"/>
  <c r="G80" i="1"/>
  <c r="H79" i="1"/>
  <c r="H83" i="1" s="1"/>
  <c r="G78" i="1"/>
  <c r="G77" i="1"/>
  <c r="G83" i="1" s="1"/>
  <c r="F74" i="1"/>
  <c r="F75" i="1" s="1"/>
  <c r="G73" i="1"/>
  <c r="H72" i="1"/>
  <c r="H71" i="1"/>
  <c r="H74" i="1" s="1"/>
  <c r="G70" i="1"/>
  <c r="G69" i="1"/>
  <c r="G68" i="1"/>
  <c r="G74" i="1" s="1"/>
  <c r="F65" i="1"/>
  <c r="F66" i="1" s="1"/>
  <c r="G64" i="1"/>
  <c r="H63" i="1"/>
  <c r="H62" i="1"/>
  <c r="H65" i="1" s="1"/>
  <c r="G61" i="1"/>
  <c r="G60" i="1"/>
  <c r="G59" i="1"/>
  <c r="G65" i="1" s="1"/>
  <c r="F56" i="1"/>
  <c r="F57" i="1" s="1"/>
  <c r="G55" i="1"/>
  <c r="H54" i="1"/>
  <c r="H53" i="1"/>
  <c r="H56" i="1" s="1"/>
  <c r="G52" i="1"/>
  <c r="G51" i="1"/>
  <c r="G50" i="1"/>
  <c r="G56" i="1" s="1"/>
  <c r="F47" i="1"/>
  <c r="F48" i="1" s="1"/>
  <c r="G46" i="1"/>
  <c r="H45" i="1"/>
  <c r="H47" i="1" s="1"/>
  <c r="G44" i="1"/>
  <c r="G43" i="1"/>
  <c r="G42" i="1"/>
  <c r="G47" i="1" s="1"/>
  <c r="F39" i="1"/>
  <c r="F40" i="1" s="1"/>
  <c r="G38" i="1"/>
  <c r="H37" i="1"/>
  <c r="H39" i="1" s="1"/>
  <c r="G36" i="1"/>
  <c r="G35" i="1"/>
  <c r="G34" i="1"/>
  <c r="G39" i="1" s="1"/>
  <c r="F31" i="1"/>
  <c r="F32" i="1" s="1"/>
  <c r="H30" i="1"/>
  <c r="H31" i="1" s="1"/>
  <c r="G29" i="1"/>
  <c r="G28" i="1"/>
  <c r="G27" i="1"/>
  <c r="G26" i="1"/>
  <c r="G31" i="1" s="1"/>
  <c r="F23" i="1"/>
  <c r="F24" i="1" s="1"/>
  <c r="H22" i="1"/>
  <c r="H23" i="1" s="1"/>
  <c r="G21" i="1"/>
  <c r="G20" i="1"/>
  <c r="G19" i="1"/>
  <c r="G18" i="1"/>
  <c r="G23" i="1" s="1"/>
  <c r="F15" i="1"/>
  <c r="H14" i="1"/>
  <c r="H13" i="1"/>
  <c r="H12" i="1"/>
  <c r="H15" i="1" s="1"/>
  <c r="G11" i="1"/>
  <c r="G10" i="1"/>
  <c r="G9" i="1"/>
  <c r="G15" i="1" s="1"/>
  <c r="G178" i="1" l="1"/>
  <c r="G17" i="1"/>
  <c r="G16" i="1"/>
  <c r="H178" i="1"/>
  <c r="H17" i="1"/>
  <c r="H16" i="1"/>
  <c r="F178" i="1"/>
  <c r="F179" i="1" s="1"/>
  <c r="F16" i="1"/>
  <c r="G25" i="1"/>
  <c r="G24" i="1"/>
  <c r="H25" i="1"/>
  <c r="H24" i="1"/>
  <c r="G33" i="1"/>
  <c r="G32" i="1"/>
  <c r="H33" i="1"/>
  <c r="H32" i="1"/>
  <c r="G41" i="1"/>
  <c r="G40" i="1"/>
  <c r="H41" i="1"/>
  <c r="H40" i="1"/>
  <c r="G49" i="1"/>
  <c r="G48" i="1"/>
  <c r="H49" i="1"/>
  <c r="H48" i="1"/>
  <c r="G58" i="1"/>
  <c r="G57" i="1"/>
  <c r="H58" i="1"/>
  <c r="H57" i="1"/>
  <c r="G67" i="1"/>
  <c r="G66" i="1"/>
  <c r="H67" i="1"/>
  <c r="H66" i="1"/>
  <c r="G76" i="1"/>
  <c r="G75" i="1"/>
  <c r="H76" i="1"/>
  <c r="H75" i="1"/>
  <c r="G85" i="1"/>
  <c r="G84" i="1"/>
  <c r="H85" i="1"/>
  <c r="H84" i="1"/>
  <c r="G93" i="1"/>
  <c r="G92" i="1"/>
  <c r="H93" i="1"/>
  <c r="H92" i="1"/>
  <c r="G102" i="1"/>
  <c r="G101" i="1"/>
  <c r="H102" i="1"/>
  <c r="H101" i="1"/>
  <c r="G108" i="1"/>
  <c r="G107" i="1"/>
  <c r="H108" i="1"/>
  <c r="H107" i="1"/>
  <c r="G117" i="1"/>
  <c r="G116" i="1"/>
  <c r="H117" i="1"/>
  <c r="H116" i="1"/>
  <c r="G126" i="1"/>
  <c r="G125" i="1"/>
  <c r="H126" i="1"/>
  <c r="H125" i="1"/>
  <c r="G135" i="1"/>
  <c r="G134" i="1"/>
  <c r="H135" i="1"/>
  <c r="H134" i="1"/>
  <c r="G141" i="1"/>
  <c r="G140" i="1"/>
  <c r="H141" i="1"/>
  <c r="H140" i="1"/>
  <c r="G150" i="1"/>
  <c r="G149" i="1"/>
  <c r="H150" i="1"/>
  <c r="H149" i="1"/>
  <c r="G159" i="1"/>
  <c r="G158" i="1"/>
  <c r="H159" i="1"/>
  <c r="H158" i="1"/>
  <c r="G168" i="1"/>
  <c r="G167" i="1"/>
  <c r="H168" i="1"/>
  <c r="H167" i="1"/>
  <c r="G175" i="1"/>
  <c r="G174" i="1"/>
  <c r="H175" i="1"/>
  <c r="H174" i="1"/>
  <c r="N182" i="1"/>
  <c r="M183" i="1"/>
  <c r="N183" i="1" l="1"/>
  <c r="L183" i="1"/>
  <c r="H180" i="1"/>
  <c r="H179" i="1"/>
  <c r="G180" i="1"/>
  <c r="G179" i="1"/>
</calcChain>
</file>

<file path=xl/sharedStrings.xml><?xml version="1.0" encoding="utf-8"?>
<sst xmlns="http://schemas.openxmlformats.org/spreadsheetml/2006/main" count="408" uniqueCount="94">
  <si>
    <t xml:space="preserve">Tipo </t>
  </si>
  <si>
    <t xml:space="preserve">Inicio: </t>
  </si>
  <si>
    <t>Conclusión</t>
  </si>
  <si>
    <t>Docente</t>
  </si>
  <si>
    <t>Carga Horaria</t>
  </si>
  <si>
    <t>HT: 60%</t>
  </si>
  <si>
    <t>HP: 40%</t>
  </si>
  <si>
    <t>COMPETENCIA</t>
  </si>
  <si>
    <t>MOMENTO</t>
  </si>
  <si>
    <t>ACTIVIDAD</t>
  </si>
  <si>
    <t>CARGA HORARIA</t>
  </si>
  <si>
    <t>ENTREGABLE</t>
  </si>
  <si>
    <t>EVALUACIÓN</t>
  </si>
  <si>
    <t xml:space="preserve">HITO </t>
  </si>
  <si>
    <t>SEMANA</t>
  </si>
  <si>
    <t>TIPO DE ACTIVIDAD</t>
  </si>
  <si>
    <t>NOMBRE DE LA ACTIVIDAD</t>
  </si>
  <si>
    <t>DURACIÓN DE LA ACTIVIDAD</t>
  </si>
  <si>
    <t>ACTIVIDAD TEÓRICA</t>
  </si>
  <si>
    <t>ACTIVIDAD PRÁCTICA</t>
  </si>
  <si>
    <t>RECURSO</t>
  </si>
  <si>
    <t>EVALUACION DOCENTE</t>
  </si>
  <si>
    <t>AUTOEVALUACION</t>
  </si>
  <si>
    <t>PORCENTAJE CALIFICACIÓN</t>
  </si>
  <si>
    <t>OBSERVACIONES</t>
  </si>
  <si>
    <t>HITO 1 DIAGNÓSTICO, Conociéndonos</t>
  </si>
  <si>
    <t>S1 Conociéndonos</t>
  </si>
  <si>
    <t>Contenido</t>
  </si>
  <si>
    <t>Periodo 1</t>
  </si>
  <si>
    <t>Periodo 2</t>
  </si>
  <si>
    <t>Foro</t>
  </si>
  <si>
    <t>Me presento, te presento</t>
  </si>
  <si>
    <t>no</t>
  </si>
  <si>
    <t>Gamificación</t>
  </si>
  <si>
    <t>Afianzamiento</t>
  </si>
  <si>
    <t>Test</t>
  </si>
  <si>
    <t>TIEMPO SEMANA</t>
  </si>
  <si>
    <t>Minutos</t>
  </si>
  <si>
    <t>Horas equivalentes</t>
  </si>
  <si>
    <t>Porcentajes</t>
  </si>
  <si>
    <t>%</t>
  </si>
  <si>
    <t>si</t>
  </si>
  <si>
    <t>Aplicación</t>
  </si>
  <si>
    <t>H5P</t>
  </si>
  <si>
    <t>contenido</t>
  </si>
  <si>
    <t>S12 Proyecto de Investigación</t>
  </si>
  <si>
    <t xml:space="preserve">Proyecto </t>
  </si>
  <si>
    <t>Proyecto de Investigación</t>
  </si>
  <si>
    <t>S16 Proyecto de innovación</t>
  </si>
  <si>
    <t>Proyecto Innov.</t>
  </si>
  <si>
    <t>Proyecto de innovación</t>
  </si>
  <si>
    <t>Proyecto Integ.</t>
  </si>
  <si>
    <t>Examen</t>
  </si>
  <si>
    <t>Examen Final</t>
  </si>
  <si>
    <t>Presencial</t>
  </si>
  <si>
    <t>TOTAL HITOS</t>
  </si>
  <si>
    <t>Total</t>
  </si>
  <si>
    <t>Teórica</t>
  </si>
  <si>
    <t>Práctica</t>
  </si>
  <si>
    <t>Por docente</t>
  </si>
  <si>
    <t>Autoevaluación</t>
  </si>
  <si>
    <t>Cantidad Evaluaciones</t>
  </si>
  <si>
    <t>Porcentajes:</t>
  </si>
  <si>
    <t>MAQUETA DISEÑO INSTRUCCIONAL (Escribe el nombre de la asignatura y su código)</t>
  </si>
  <si>
    <t>(escribe Conceptual o Numérica)</t>
  </si>
  <si>
    <t>Escribe aquí la competencia global de la asignatura (obtiene el dato del sílabo)</t>
  </si>
  <si>
    <t>Escribe el elemento de competencia del Hito</t>
  </si>
  <si>
    <t>HITO 2 AVANCE, (escribe el título del hito)</t>
  </si>
  <si>
    <t>S2 Escribe el título de la semana</t>
  </si>
  <si>
    <t>S3 Escribe el título de la semana</t>
  </si>
  <si>
    <t>S4 Escribe el título de la semana</t>
  </si>
  <si>
    <t>S5 Escribe el título de la semana</t>
  </si>
  <si>
    <t>S6 Escribe el título de la semana</t>
  </si>
  <si>
    <t>S7 Escribe el título de la semana</t>
  </si>
  <si>
    <t>S8 Escribe el título de la semana</t>
  </si>
  <si>
    <t>Escribe el elemento de competencia del hito</t>
  </si>
  <si>
    <t>HITO 3 INVESTIGACIÓN, escribe el título del hito</t>
  </si>
  <si>
    <t>S9 Escribe el título de la semana</t>
  </si>
  <si>
    <t>S10 Escribe el títuo de la semana</t>
  </si>
  <si>
    <t>S11 Escribe el título de la semana</t>
  </si>
  <si>
    <t>S13 Escribe el título de la semana</t>
  </si>
  <si>
    <t>S14 Escribe el título de la semana</t>
  </si>
  <si>
    <t>Aplicaicón</t>
  </si>
  <si>
    <t>Escribe aquí el elemento de competencia del hito</t>
  </si>
  <si>
    <t>HITO 4 INNOVACIÓN, Escribe el título del hito</t>
  </si>
  <si>
    <t>S15 Escribe el título de la semana</t>
  </si>
  <si>
    <t>S17 Escribe el título de la semana</t>
  </si>
  <si>
    <t>S19 Escribe el título de la semana</t>
  </si>
  <si>
    <t>HITO 5 INTEGRACIÓN, escribe el título del hito</t>
  </si>
  <si>
    <t>S20 Proyecto de integración.</t>
  </si>
  <si>
    <t>Taller</t>
  </si>
  <si>
    <t>FECHA DE ENTREGA</t>
  </si>
  <si>
    <t>Act. CALIFICADA</t>
  </si>
  <si>
    <t>S18 Escribe el título de la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</si>
</sst>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3">
    <font>
      <sz val="11"/>
      <color theme="1"/>
      <name val="Calibri"/>
      <scheme val="minor"/>
    </font>
    <font>
      <b/>
      <sz val="18"/>
      <color theme="1"/>
      <name val="Calibri"/>
    </font>
    <font>
      <sz val="11"/>
      <name val="Calibri"/>
    </font>
    <font>
      <sz val="10"/>
      <color theme="1"/>
      <name val="Calibri"/>
    </font>
    <font>
      <b/>
      <sz val="12"/>
      <color theme="1"/>
      <name val="Calibri"/>
    </font>
    <font>
      <b/>
      <sz val="14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2"/>
      <color theme="1"/>
      <name val="Calibri"/>
    </font>
    <font>
      <b/>
      <sz val="10"/>
      <color theme="1"/>
      <name val="Calibri"/>
    </font>
    <font>
      <b/>
      <sz val="8"/>
      <color theme="1"/>
      <name val="Calibri"/>
    </font>
    <font>
      <b/>
      <sz val="9"/>
      <color theme="1"/>
      <name val="Calibri"/>
    </font>
    <font>
      <b/>
      <sz val="10"/>
      <color theme="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theme="1"/>
        <bgColor theme="1"/>
      </patternFill>
    </fill>
    <fill>
      <patternFill patternType="solid">
        <fgColor rgb="FFA4C2F4"/>
        <bgColor rgb="FFA4C2F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8" borderId="28" xfId="0" applyFont="1" applyFill="1" applyBorder="1" applyAlignment="1">
      <alignment horizontal="right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29" xfId="0" applyFont="1" applyFill="1" applyBorder="1" applyAlignment="1">
      <alignment horizontal="right" vertical="center"/>
    </xf>
    <xf numFmtId="164" fontId="3" fillId="8" borderId="11" xfId="0" applyNumberFormat="1" applyFont="1" applyFill="1" applyBorder="1" applyAlignment="1">
      <alignment horizontal="center" vertical="center"/>
    </xf>
    <xf numFmtId="0" fontId="3" fillId="8" borderId="30" xfId="0" applyFont="1" applyFill="1" applyBorder="1" applyAlignment="1">
      <alignment horizontal="right" vertical="center"/>
    </xf>
    <xf numFmtId="9" fontId="3" fillId="8" borderId="11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9" fontId="3" fillId="0" borderId="11" xfId="0" applyNumberFormat="1" applyFont="1" applyBorder="1" applyAlignment="1">
      <alignment horizontal="center" vertical="center"/>
    </xf>
    <xf numFmtId="0" fontId="9" fillId="7" borderId="28" xfId="0" applyFont="1" applyFill="1" applyBorder="1" applyAlignment="1">
      <alignment horizontal="center" vertical="center" wrapText="1"/>
    </xf>
    <xf numFmtId="20" fontId="3" fillId="0" borderId="1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right" vertical="center"/>
    </xf>
    <xf numFmtId="0" fontId="9" fillId="8" borderId="11" xfId="0" applyFont="1" applyFill="1" applyBorder="1" applyAlignment="1">
      <alignment horizontal="center" vertical="center"/>
    </xf>
    <xf numFmtId="0" fontId="3" fillId="0" borderId="33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9" fillId="13" borderId="11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vertical="center"/>
    </xf>
    <xf numFmtId="0" fontId="3" fillId="0" borderId="38" xfId="0" applyFont="1" applyBorder="1" applyAlignment="1">
      <alignment vertical="center"/>
    </xf>
    <xf numFmtId="165" fontId="3" fillId="13" borderId="11" xfId="0" applyNumberFormat="1" applyFont="1" applyFill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2" fillId="0" borderId="27" xfId="0" applyFont="1" applyBorder="1"/>
    <xf numFmtId="0" fontId="2" fillId="0" borderId="8" xfId="0" applyFont="1" applyBorder="1"/>
    <xf numFmtId="0" fontId="3" fillId="8" borderId="26" xfId="0" applyFont="1" applyFill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0" fontId="7" fillId="5" borderId="16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7" fillId="6" borderId="16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4" fillId="3" borderId="9" xfId="0" applyFont="1" applyFill="1" applyBorder="1" applyAlignment="1">
      <alignment horizontal="right" vertical="center" wrapText="1"/>
    </xf>
    <xf numFmtId="0" fontId="2" fillId="0" borderId="10" xfId="0" applyFont="1" applyBorder="1"/>
    <xf numFmtId="0" fontId="7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4" xfId="0" applyFont="1" applyBorder="1"/>
    <xf numFmtId="0" fontId="7" fillId="3" borderId="1" xfId="0" applyFont="1" applyFill="1" applyBorder="1" applyAlignment="1">
      <alignment horizontal="right" vertical="center" wrapText="1"/>
    </xf>
    <xf numFmtId="0" fontId="8" fillId="0" borderId="12" xfId="0" applyFont="1" applyBorder="1" applyAlignment="1">
      <alignment horizontal="left" vertical="center" wrapText="1"/>
    </xf>
    <xf numFmtId="0" fontId="2" fillId="0" borderId="12" xfId="0" applyFont="1" applyBorder="1"/>
    <xf numFmtId="0" fontId="2" fillId="0" borderId="13" xfId="0" applyFont="1" applyBorder="1"/>
    <xf numFmtId="0" fontId="7" fillId="5" borderId="14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2" fillId="0" borderId="7" xfId="0" applyFont="1" applyBorder="1"/>
    <xf numFmtId="0" fontId="7" fillId="3" borderId="16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4" fillId="3" borderId="1" xfId="0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3" fillId="13" borderId="1" xfId="0" applyFont="1" applyFill="1" applyBorder="1" applyAlignment="1">
      <alignment horizontal="right" vertical="center"/>
    </xf>
    <xf numFmtId="20" fontId="3" fillId="0" borderId="26" xfId="0" applyNumberFormat="1" applyFont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 wrapText="1"/>
    </xf>
    <xf numFmtId="0" fontId="12" fillId="12" borderId="32" xfId="0" applyFont="1" applyFill="1" applyBorder="1" applyAlignment="1">
      <alignment horizontal="center" vertical="center" wrapText="1"/>
    </xf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0" fillId="0" borderId="0" xfId="0"/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2" fillId="0" borderId="39" xfId="0" applyFont="1" applyBorder="1"/>
    <xf numFmtId="0" fontId="3" fillId="10" borderId="26" xfId="0" applyFont="1" applyFill="1" applyBorder="1" applyAlignment="1">
      <alignment horizontal="center" vertical="center" wrapText="1"/>
    </xf>
    <xf numFmtId="0" fontId="3" fillId="11" borderId="26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9" fillId="7" borderId="26" xfId="0" applyFont="1" applyFill="1" applyBorder="1" applyAlignment="1">
      <alignment horizontal="center" vertical="center" wrapText="1"/>
    </xf>
    <xf numFmtId="0" fontId="6" fillId="7" borderId="31" xfId="0" applyFont="1" applyFill="1" applyBorder="1" applyAlignment="1">
      <alignment horizontal="center" vertical="center" wrapText="1"/>
    </xf>
    <xf numFmtId="0" fontId="3" fillId="9" borderId="26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9" fillId="11" borderId="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6"/>
  <sheetViews>
    <sheetView tabSelected="1" zoomScale="80" zoomScaleNormal="80" workbookViewId="0">
      <pane ySplit="8" topLeftCell="A9" activePane="bottomLeft" state="frozen"/>
      <selection pane="bottomLeft" activeCell="C160" sqref="C160:C168"/>
    </sheetView>
  </sheetViews>
  <sheetFormatPr baseColWidth="10" defaultColWidth="14.44140625" defaultRowHeight="15" customHeight="1"/>
  <cols>
    <col min="1" max="2" width="15.33203125" customWidth="1"/>
    <col min="3" max="3" width="12.6640625" customWidth="1"/>
    <col min="4" max="4" width="20.44140625" customWidth="1"/>
    <col min="5" max="5" width="23" customWidth="1"/>
    <col min="6" max="8" width="11.5546875" customWidth="1"/>
    <col min="9" max="9" width="9.6640625" customWidth="1"/>
    <col min="10" max="10" width="12" customWidth="1"/>
    <col min="11" max="11" width="10.6640625" customWidth="1"/>
    <col min="12" max="12" width="11.33203125" customWidth="1"/>
    <col min="13" max="13" width="13.109375" customWidth="1"/>
    <col min="14" max="14" width="13" customWidth="1"/>
    <col min="15" max="15" width="10.6640625" customWidth="1"/>
    <col min="16" max="16" width="22.6640625" customWidth="1"/>
  </cols>
  <sheetData>
    <row r="1" spans="1:16" ht="21.75" customHeight="1">
      <c r="A1" s="72" t="s">
        <v>63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73"/>
      <c r="O1" s="1"/>
      <c r="P1" s="1"/>
    </row>
    <row r="2" spans="1:16" ht="15" customHeight="1">
      <c r="A2" s="74" t="s">
        <v>0</v>
      </c>
      <c r="B2" s="61"/>
      <c r="C2" s="75" t="s">
        <v>64</v>
      </c>
      <c r="D2" s="60"/>
      <c r="E2" s="61"/>
      <c r="F2" s="76"/>
      <c r="G2" s="60"/>
      <c r="H2" s="60"/>
      <c r="I2" s="60"/>
      <c r="J2" s="60"/>
      <c r="K2" s="60"/>
      <c r="L2" s="60"/>
      <c r="M2" s="60"/>
      <c r="N2" s="61"/>
      <c r="O2" s="1"/>
      <c r="P2" s="1"/>
    </row>
    <row r="3" spans="1:16" ht="14.25" customHeight="1">
      <c r="A3" s="77" t="s">
        <v>1</v>
      </c>
      <c r="B3" s="68"/>
      <c r="C3" s="2"/>
      <c r="D3" s="3" t="s">
        <v>2</v>
      </c>
      <c r="E3" s="2"/>
      <c r="F3" s="59"/>
      <c r="G3" s="60"/>
      <c r="H3" s="60"/>
      <c r="I3" s="60"/>
      <c r="J3" s="60"/>
      <c r="K3" s="60"/>
      <c r="L3" s="60"/>
      <c r="M3" s="60"/>
      <c r="N3" s="61"/>
      <c r="O3" s="1"/>
      <c r="P3" s="1"/>
    </row>
    <row r="4" spans="1:16" ht="14.25" customHeight="1">
      <c r="A4" s="78" t="s">
        <v>3</v>
      </c>
      <c r="B4" s="61"/>
      <c r="C4" s="71"/>
      <c r="D4" s="60"/>
      <c r="E4" s="61"/>
      <c r="F4" s="59"/>
      <c r="G4" s="60"/>
      <c r="H4" s="60"/>
      <c r="I4" s="60"/>
      <c r="J4" s="60"/>
      <c r="K4" s="60"/>
      <c r="L4" s="60"/>
      <c r="M4" s="60"/>
      <c r="N4" s="61"/>
      <c r="O4" s="1"/>
      <c r="P4" s="1"/>
    </row>
    <row r="5" spans="1:16" ht="14.25" customHeight="1">
      <c r="A5" s="57" t="s">
        <v>4</v>
      </c>
      <c r="B5" s="58"/>
      <c r="C5" s="4"/>
      <c r="D5" s="4" t="s">
        <v>5</v>
      </c>
      <c r="E5" s="4" t="s">
        <v>6</v>
      </c>
      <c r="F5" s="59"/>
      <c r="G5" s="60"/>
      <c r="H5" s="60"/>
      <c r="I5" s="60"/>
      <c r="J5" s="60"/>
      <c r="K5" s="60"/>
      <c r="L5" s="60"/>
      <c r="M5" s="60"/>
      <c r="N5" s="61"/>
      <c r="O5" s="1"/>
      <c r="P5" s="1"/>
    </row>
    <row r="6" spans="1:16" ht="22.2" customHeight="1">
      <c r="A6" s="62" t="s">
        <v>7</v>
      </c>
      <c r="B6" s="61"/>
      <c r="C6" s="63" t="s">
        <v>65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5"/>
      <c r="O6" s="1"/>
      <c r="P6" s="1"/>
    </row>
    <row r="7" spans="1:16" ht="14.25" customHeight="1">
      <c r="A7" s="66" t="s">
        <v>8</v>
      </c>
      <c r="B7" s="67"/>
      <c r="C7" s="68"/>
      <c r="D7" s="69" t="s">
        <v>9</v>
      </c>
      <c r="E7" s="53"/>
      <c r="F7" s="70" t="s">
        <v>10</v>
      </c>
      <c r="G7" s="55"/>
      <c r="H7" s="53"/>
      <c r="I7" s="52" t="s">
        <v>11</v>
      </c>
      <c r="J7" s="53"/>
      <c r="K7" s="54" t="s">
        <v>12</v>
      </c>
      <c r="L7" s="55"/>
      <c r="M7" s="55"/>
      <c r="N7" s="56"/>
      <c r="O7" s="1"/>
      <c r="P7" s="1"/>
    </row>
    <row r="8" spans="1:16" ht="48" customHeight="1">
      <c r="A8" s="5" t="s">
        <v>13</v>
      </c>
      <c r="B8" s="6" t="s">
        <v>7</v>
      </c>
      <c r="C8" s="7" t="s">
        <v>14</v>
      </c>
      <c r="D8" s="8" t="s">
        <v>15</v>
      </c>
      <c r="E8" s="8" t="s">
        <v>16</v>
      </c>
      <c r="F8" s="9" t="s">
        <v>17</v>
      </c>
      <c r="G8" s="9" t="s">
        <v>18</v>
      </c>
      <c r="H8" s="9" t="s">
        <v>19</v>
      </c>
      <c r="I8" s="6" t="s">
        <v>91</v>
      </c>
      <c r="J8" s="10" t="s">
        <v>20</v>
      </c>
      <c r="K8" s="11" t="s">
        <v>92</v>
      </c>
      <c r="L8" s="11" t="s">
        <v>21</v>
      </c>
      <c r="M8" s="12" t="s">
        <v>22</v>
      </c>
      <c r="N8" s="13" t="s">
        <v>23</v>
      </c>
      <c r="O8" s="14"/>
      <c r="P8" s="15" t="s">
        <v>24</v>
      </c>
    </row>
    <row r="9" spans="1:16" ht="14.25" customHeight="1">
      <c r="A9" s="95" t="s">
        <v>25</v>
      </c>
      <c r="B9" s="81" t="s">
        <v>66</v>
      </c>
      <c r="C9" s="81" t="s">
        <v>26</v>
      </c>
      <c r="D9" s="16" t="s">
        <v>27</v>
      </c>
      <c r="E9" s="17" t="s">
        <v>27</v>
      </c>
      <c r="F9" s="16">
        <v>10</v>
      </c>
      <c r="G9" s="16">
        <f t="shared" ref="G9:G11" si="0">F9</f>
        <v>10</v>
      </c>
      <c r="H9" s="16"/>
      <c r="I9" s="16"/>
      <c r="J9" s="18"/>
      <c r="K9" s="18"/>
      <c r="L9" s="18"/>
      <c r="M9" s="18"/>
      <c r="N9" s="18"/>
      <c r="O9" s="1"/>
    </row>
    <row r="10" spans="1:16" ht="14.25" customHeight="1">
      <c r="A10" s="48"/>
      <c r="B10" s="48"/>
      <c r="C10" s="48"/>
      <c r="D10" s="51" t="s">
        <v>90</v>
      </c>
      <c r="E10" s="19" t="s">
        <v>28</v>
      </c>
      <c r="F10" s="20">
        <v>40</v>
      </c>
      <c r="G10" s="20">
        <f t="shared" si="0"/>
        <v>40</v>
      </c>
      <c r="H10" s="20"/>
      <c r="I10" s="20"/>
      <c r="J10" s="20"/>
      <c r="K10" s="20"/>
      <c r="L10" s="20"/>
      <c r="M10" s="20"/>
      <c r="N10" s="20"/>
      <c r="O10" s="1"/>
    </row>
    <row r="11" spans="1:16" ht="14.25" customHeight="1">
      <c r="A11" s="48"/>
      <c r="B11" s="48"/>
      <c r="C11" s="48"/>
      <c r="D11" s="49"/>
      <c r="E11" s="19" t="s">
        <v>29</v>
      </c>
      <c r="F11" s="20">
        <v>40</v>
      </c>
      <c r="G11" s="20">
        <f t="shared" si="0"/>
        <v>40</v>
      </c>
      <c r="H11" s="20"/>
      <c r="I11" s="20"/>
      <c r="J11" s="20"/>
      <c r="K11" s="20"/>
      <c r="L11" s="20"/>
      <c r="M11" s="20"/>
      <c r="N11" s="20"/>
      <c r="O11" s="1"/>
    </row>
    <row r="12" spans="1:16" ht="14.25" customHeight="1">
      <c r="A12" s="48"/>
      <c r="B12" s="48"/>
      <c r="C12" s="48"/>
      <c r="D12" s="19" t="s">
        <v>30</v>
      </c>
      <c r="E12" s="19" t="s">
        <v>31</v>
      </c>
      <c r="F12" s="20">
        <v>30</v>
      </c>
      <c r="G12" s="20"/>
      <c r="H12" s="20">
        <f t="shared" ref="H12:H14" si="1">F12</f>
        <v>30</v>
      </c>
      <c r="I12" s="47"/>
      <c r="J12" s="20" t="s">
        <v>30</v>
      </c>
      <c r="K12" s="20" t="s">
        <v>32</v>
      </c>
      <c r="L12" s="20">
        <v>1</v>
      </c>
      <c r="M12" s="20"/>
      <c r="N12" s="20"/>
      <c r="O12" s="1"/>
    </row>
    <row r="13" spans="1:16" ht="14.25" customHeight="1">
      <c r="A13" s="48"/>
      <c r="B13" s="48"/>
      <c r="C13" s="48"/>
      <c r="D13" s="19" t="s">
        <v>33</v>
      </c>
      <c r="E13" s="19"/>
      <c r="F13" s="20">
        <v>45</v>
      </c>
      <c r="G13" s="20"/>
      <c r="H13" s="20">
        <f t="shared" si="1"/>
        <v>45</v>
      </c>
      <c r="I13" s="48"/>
      <c r="J13" s="20"/>
      <c r="K13" s="20" t="s">
        <v>32</v>
      </c>
      <c r="L13" s="20">
        <v>1</v>
      </c>
      <c r="M13" s="20"/>
      <c r="N13" s="20"/>
      <c r="O13" s="1"/>
    </row>
    <row r="14" spans="1:16" ht="14.25" customHeight="1">
      <c r="A14" s="48"/>
      <c r="B14" s="48"/>
      <c r="C14" s="48"/>
      <c r="D14" s="19" t="s">
        <v>34</v>
      </c>
      <c r="E14" s="19" t="s">
        <v>35</v>
      </c>
      <c r="F14" s="20">
        <v>15</v>
      </c>
      <c r="G14" s="20"/>
      <c r="H14" s="20">
        <f t="shared" si="1"/>
        <v>15</v>
      </c>
      <c r="I14" s="49"/>
      <c r="J14" s="20"/>
      <c r="K14" s="20" t="s">
        <v>32</v>
      </c>
      <c r="L14" s="20"/>
      <c r="M14" s="20">
        <v>1</v>
      </c>
      <c r="N14" s="20"/>
      <c r="O14" s="1"/>
    </row>
    <row r="15" spans="1:16" ht="14.25" customHeight="1">
      <c r="A15" s="48"/>
      <c r="B15" s="48"/>
      <c r="C15" s="48"/>
      <c r="D15" s="50" t="s">
        <v>36</v>
      </c>
      <c r="E15" s="21" t="s">
        <v>37</v>
      </c>
      <c r="F15" s="22">
        <f t="shared" ref="F15:H15" si="2">SUM(F9:F14)</f>
        <v>180</v>
      </c>
      <c r="G15" s="22">
        <f t="shared" si="2"/>
        <v>90</v>
      </c>
      <c r="H15" s="22">
        <f t="shared" si="2"/>
        <v>90</v>
      </c>
      <c r="I15" s="20"/>
      <c r="J15" s="20"/>
      <c r="K15" s="20"/>
      <c r="L15" s="20"/>
      <c r="M15" s="20"/>
      <c r="N15" s="20"/>
      <c r="O15" s="1"/>
    </row>
    <row r="16" spans="1:16" ht="19.5" customHeight="1">
      <c r="A16" s="48"/>
      <c r="B16" s="48"/>
      <c r="C16" s="48"/>
      <c r="D16" s="48"/>
      <c r="E16" s="23" t="s">
        <v>38</v>
      </c>
      <c r="F16" s="24">
        <f t="shared" ref="F16:H16" si="3">F15/60</f>
        <v>3</v>
      </c>
      <c r="G16" s="24">
        <f t="shared" si="3"/>
        <v>1.5</v>
      </c>
      <c r="H16" s="24">
        <f t="shared" si="3"/>
        <v>1.5</v>
      </c>
      <c r="I16" s="20"/>
      <c r="J16" s="20"/>
      <c r="K16" s="20"/>
      <c r="L16" s="20"/>
      <c r="M16" s="20"/>
      <c r="N16" s="20"/>
      <c r="O16" s="1"/>
    </row>
    <row r="17" spans="1:15" ht="22.5" customHeight="1">
      <c r="A17" s="49"/>
      <c r="B17" s="49"/>
      <c r="C17" s="49"/>
      <c r="D17" s="49"/>
      <c r="E17" s="25" t="s">
        <v>39</v>
      </c>
      <c r="F17" s="22" t="s">
        <v>40</v>
      </c>
      <c r="G17" s="26">
        <f t="shared" ref="G17:H17" si="4">G15/$F$15</f>
        <v>0.5</v>
      </c>
      <c r="H17" s="26">
        <f t="shared" si="4"/>
        <v>0.5</v>
      </c>
      <c r="I17" s="20"/>
      <c r="J17" s="20"/>
      <c r="K17" s="20"/>
      <c r="L17" s="20"/>
      <c r="M17" s="20"/>
      <c r="N17" s="20"/>
      <c r="O17" s="1"/>
    </row>
    <row r="18" spans="1:15" ht="14.25" customHeight="1">
      <c r="A18" s="93" t="s">
        <v>67</v>
      </c>
      <c r="B18" s="94" t="s">
        <v>66</v>
      </c>
      <c r="C18" s="97" t="s">
        <v>68</v>
      </c>
      <c r="D18" s="19" t="s">
        <v>27</v>
      </c>
      <c r="E18" s="19" t="s">
        <v>27</v>
      </c>
      <c r="F18" s="20">
        <v>40</v>
      </c>
      <c r="G18" s="20">
        <f t="shared" ref="G18:G21" si="5">F18</f>
        <v>40</v>
      </c>
      <c r="H18" s="20"/>
      <c r="I18" s="20"/>
      <c r="J18" s="20"/>
      <c r="K18" s="20"/>
      <c r="L18" s="20"/>
      <c r="M18" s="20"/>
      <c r="N18" s="20"/>
      <c r="O18" s="1"/>
    </row>
    <row r="19" spans="1:15" ht="14.25" customHeight="1">
      <c r="A19" s="48"/>
      <c r="B19" s="48"/>
      <c r="C19" s="48"/>
      <c r="D19" s="51" t="s">
        <v>90</v>
      </c>
      <c r="E19" s="19" t="s">
        <v>28</v>
      </c>
      <c r="F19" s="20">
        <v>40</v>
      </c>
      <c r="G19" s="20">
        <f t="shared" si="5"/>
        <v>40</v>
      </c>
      <c r="H19" s="20"/>
      <c r="I19" s="20"/>
      <c r="J19" s="20"/>
      <c r="K19" s="20"/>
      <c r="L19" s="20"/>
      <c r="M19" s="20"/>
      <c r="N19" s="20"/>
      <c r="O19" s="1"/>
    </row>
    <row r="20" spans="1:15" ht="14.25" customHeight="1">
      <c r="A20" s="48"/>
      <c r="B20" s="48"/>
      <c r="C20" s="48"/>
      <c r="D20" s="49"/>
      <c r="E20" s="19" t="s">
        <v>29</v>
      </c>
      <c r="F20" s="20">
        <v>40</v>
      </c>
      <c r="G20" s="20">
        <f t="shared" si="5"/>
        <v>40</v>
      </c>
      <c r="H20" s="20"/>
      <c r="I20" s="20"/>
      <c r="J20" s="20"/>
      <c r="K20" s="20"/>
      <c r="L20" s="20"/>
      <c r="M20" s="20"/>
      <c r="N20" s="20"/>
      <c r="O20" s="1"/>
    </row>
    <row r="21" spans="1:15" ht="14.25" customHeight="1">
      <c r="A21" s="48"/>
      <c r="B21" s="48"/>
      <c r="C21" s="48"/>
      <c r="D21" s="19" t="s">
        <v>30</v>
      </c>
      <c r="E21" s="19"/>
      <c r="F21" s="20">
        <v>30</v>
      </c>
      <c r="G21" s="20">
        <f t="shared" si="5"/>
        <v>30</v>
      </c>
      <c r="H21" s="20"/>
      <c r="I21" s="47"/>
      <c r="J21" s="20" t="s">
        <v>30</v>
      </c>
      <c r="K21" s="20" t="s">
        <v>41</v>
      </c>
      <c r="L21" s="20">
        <v>1</v>
      </c>
      <c r="M21" s="20"/>
      <c r="N21" s="20"/>
      <c r="O21" s="1"/>
    </row>
    <row r="22" spans="1:15" ht="26.25" customHeight="1">
      <c r="A22" s="48"/>
      <c r="B22" s="48"/>
      <c r="C22" s="48"/>
      <c r="D22" s="19" t="s">
        <v>33</v>
      </c>
      <c r="E22" s="27"/>
      <c r="F22" s="20">
        <v>30</v>
      </c>
      <c r="G22" s="20"/>
      <c r="H22" s="20">
        <f>F22</f>
        <v>30</v>
      </c>
      <c r="I22" s="49"/>
      <c r="J22" s="20"/>
      <c r="K22" s="20" t="s">
        <v>32</v>
      </c>
      <c r="L22" s="20"/>
      <c r="M22" s="20">
        <v>1</v>
      </c>
      <c r="N22" s="20"/>
      <c r="O22" s="1"/>
    </row>
    <row r="23" spans="1:15" ht="14.25" customHeight="1">
      <c r="A23" s="48"/>
      <c r="B23" s="48"/>
      <c r="C23" s="48"/>
      <c r="D23" s="50" t="s">
        <v>36</v>
      </c>
      <c r="E23" s="21" t="s">
        <v>37</v>
      </c>
      <c r="F23" s="22">
        <f t="shared" ref="F23:H23" si="6">SUM(F18:F22)</f>
        <v>180</v>
      </c>
      <c r="G23" s="22">
        <f t="shared" si="6"/>
        <v>150</v>
      </c>
      <c r="H23" s="22">
        <f t="shared" si="6"/>
        <v>30</v>
      </c>
      <c r="I23" s="20"/>
      <c r="J23" s="20"/>
      <c r="K23" s="20"/>
      <c r="L23" s="20"/>
      <c r="M23" s="20"/>
      <c r="N23" s="20"/>
      <c r="O23" s="1"/>
    </row>
    <row r="24" spans="1:15" ht="14.25" customHeight="1">
      <c r="A24" s="48"/>
      <c r="B24" s="48"/>
      <c r="C24" s="48"/>
      <c r="D24" s="48"/>
      <c r="E24" s="23" t="s">
        <v>38</v>
      </c>
      <c r="F24" s="24">
        <f t="shared" ref="F24:H24" si="7">F23/60</f>
        <v>3</v>
      </c>
      <c r="G24" s="24">
        <f t="shared" si="7"/>
        <v>2.5</v>
      </c>
      <c r="H24" s="24">
        <f t="shared" si="7"/>
        <v>0.5</v>
      </c>
      <c r="I24" s="20"/>
      <c r="J24" s="20"/>
      <c r="K24" s="20"/>
      <c r="L24" s="20"/>
      <c r="M24" s="20"/>
      <c r="N24" s="20"/>
      <c r="O24" s="1"/>
    </row>
    <row r="25" spans="1:15" ht="14.25" customHeight="1">
      <c r="A25" s="48"/>
      <c r="B25" s="48"/>
      <c r="C25" s="49"/>
      <c r="D25" s="49"/>
      <c r="E25" s="25" t="s">
        <v>39</v>
      </c>
      <c r="F25" s="22" t="s">
        <v>40</v>
      </c>
      <c r="G25" s="26">
        <f t="shared" ref="G25:H25" si="8">G23/$F$23</f>
        <v>0.83333333333333337</v>
      </c>
      <c r="H25" s="26">
        <f t="shared" si="8"/>
        <v>0.16666666666666666</v>
      </c>
      <c r="I25" s="20"/>
      <c r="J25" s="20"/>
      <c r="K25" s="20"/>
      <c r="L25" s="20"/>
      <c r="M25" s="20"/>
      <c r="N25" s="20"/>
      <c r="O25" s="1"/>
    </row>
    <row r="26" spans="1:15" ht="14.25" customHeight="1">
      <c r="A26" s="48"/>
      <c r="B26" s="48"/>
      <c r="C26" s="97" t="s">
        <v>69</v>
      </c>
      <c r="D26" s="19" t="s">
        <v>27</v>
      </c>
      <c r="E26" s="19" t="s">
        <v>27</v>
      </c>
      <c r="F26" s="20">
        <v>25</v>
      </c>
      <c r="G26" s="20">
        <f t="shared" ref="G26:G29" si="9">F26</f>
        <v>25</v>
      </c>
      <c r="H26" s="20"/>
      <c r="I26" s="20"/>
      <c r="J26" s="20"/>
      <c r="K26" s="20"/>
      <c r="L26" s="20"/>
      <c r="M26" s="20"/>
      <c r="N26" s="20"/>
      <c r="O26" s="1"/>
    </row>
    <row r="27" spans="1:15" ht="14.25" customHeight="1">
      <c r="A27" s="48"/>
      <c r="B27" s="48"/>
      <c r="C27" s="48"/>
      <c r="D27" s="19" t="s">
        <v>90</v>
      </c>
      <c r="E27" s="19"/>
      <c r="F27" s="20">
        <v>40</v>
      </c>
      <c r="G27" s="20">
        <f t="shared" si="9"/>
        <v>40</v>
      </c>
      <c r="H27" s="20"/>
      <c r="I27" s="20"/>
      <c r="J27" s="20"/>
      <c r="K27" s="20"/>
      <c r="L27" s="20"/>
      <c r="M27" s="20"/>
      <c r="N27" s="20"/>
      <c r="O27" s="1"/>
    </row>
    <row r="28" spans="1:15" ht="14.25" customHeight="1">
      <c r="A28" s="48"/>
      <c r="B28" s="48"/>
      <c r="C28" s="48"/>
      <c r="D28" s="19" t="s">
        <v>30</v>
      </c>
      <c r="E28" s="19"/>
      <c r="F28" s="20">
        <v>25</v>
      </c>
      <c r="G28" s="20">
        <f t="shared" si="9"/>
        <v>25</v>
      </c>
      <c r="H28" s="20"/>
      <c r="I28" s="47"/>
      <c r="J28" s="20" t="s">
        <v>30</v>
      </c>
      <c r="K28" s="20" t="s">
        <v>41</v>
      </c>
      <c r="L28" s="20">
        <v>1</v>
      </c>
      <c r="M28" s="20"/>
      <c r="N28" s="20"/>
      <c r="O28" s="1"/>
    </row>
    <row r="29" spans="1:15" ht="14.25" customHeight="1">
      <c r="A29" s="48"/>
      <c r="B29" s="48"/>
      <c r="C29" s="48"/>
      <c r="D29" s="19" t="s">
        <v>33</v>
      </c>
      <c r="E29" s="19"/>
      <c r="F29" s="20">
        <v>30</v>
      </c>
      <c r="G29" s="20">
        <f t="shared" si="9"/>
        <v>30</v>
      </c>
      <c r="H29" s="20"/>
      <c r="I29" s="48"/>
      <c r="J29" s="20"/>
      <c r="K29" s="20" t="s">
        <v>41</v>
      </c>
      <c r="L29" s="20">
        <v>1</v>
      </c>
      <c r="M29" s="20"/>
      <c r="N29" s="20"/>
      <c r="O29" s="1"/>
    </row>
    <row r="30" spans="1:15" ht="14.25" customHeight="1">
      <c r="A30" s="48"/>
      <c r="B30" s="48"/>
      <c r="C30" s="48"/>
      <c r="D30" s="19" t="s">
        <v>34</v>
      </c>
      <c r="E30" s="19"/>
      <c r="F30" s="20">
        <v>60</v>
      </c>
      <c r="G30" s="20"/>
      <c r="H30" s="20">
        <f>F30</f>
        <v>60</v>
      </c>
      <c r="I30" s="49"/>
      <c r="J30" s="20"/>
      <c r="K30" s="20" t="s">
        <v>41</v>
      </c>
      <c r="L30" s="20">
        <v>1</v>
      </c>
      <c r="M30" s="20"/>
      <c r="N30" s="20"/>
      <c r="O30" s="1"/>
    </row>
    <row r="31" spans="1:15" ht="14.25" customHeight="1">
      <c r="A31" s="48"/>
      <c r="B31" s="48"/>
      <c r="C31" s="48"/>
      <c r="D31" s="50" t="s">
        <v>36</v>
      </c>
      <c r="E31" s="21" t="s">
        <v>37</v>
      </c>
      <c r="F31" s="22">
        <f t="shared" ref="F31:H31" si="10">SUM(F26:F30)</f>
        <v>180</v>
      </c>
      <c r="G31" s="22">
        <f t="shared" si="10"/>
        <v>120</v>
      </c>
      <c r="H31" s="22">
        <f t="shared" si="10"/>
        <v>60</v>
      </c>
      <c r="I31" s="20"/>
      <c r="J31" s="20"/>
      <c r="K31" s="20"/>
      <c r="L31" s="20"/>
      <c r="M31" s="20"/>
      <c r="N31" s="20"/>
      <c r="O31" s="1"/>
    </row>
    <row r="32" spans="1:15" ht="14.25" customHeight="1">
      <c r="A32" s="48"/>
      <c r="B32" s="48"/>
      <c r="C32" s="48"/>
      <c r="D32" s="48"/>
      <c r="E32" s="23" t="s">
        <v>38</v>
      </c>
      <c r="F32" s="24">
        <f t="shared" ref="F32:H32" si="11">F31/60</f>
        <v>3</v>
      </c>
      <c r="G32" s="24">
        <f t="shared" si="11"/>
        <v>2</v>
      </c>
      <c r="H32" s="24">
        <f t="shared" si="11"/>
        <v>1</v>
      </c>
      <c r="I32" s="20"/>
      <c r="J32" s="20"/>
      <c r="K32" s="20"/>
      <c r="L32" s="20"/>
      <c r="M32" s="20"/>
      <c r="N32" s="20"/>
      <c r="O32" s="1"/>
    </row>
    <row r="33" spans="1:15" ht="14.25" customHeight="1">
      <c r="A33" s="48"/>
      <c r="B33" s="48"/>
      <c r="C33" s="49"/>
      <c r="D33" s="49"/>
      <c r="E33" s="25" t="s">
        <v>39</v>
      </c>
      <c r="F33" s="22" t="s">
        <v>40</v>
      </c>
      <c r="G33" s="26">
        <f t="shared" ref="G33:H33" si="12">G31/$F$31</f>
        <v>0.66666666666666663</v>
      </c>
      <c r="H33" s="26">
        <f t="shared" si="12"/>
        <v>0.33333333333333331</v>
      </c>
      <c r="I33" s="20"/>
      <c r="J33" s="20"/>
      <c r="K33" s="20"/>
      <c r="L33" s="20"/>
      <c r="M33" s="20"/>
      <c r="N33" s="20"/>
      <c r="O33" s="1"/>
    </row>
    <row r="34" spans="1:15" ht="14.25" customHeight="1">
      <c r="A34" s="48"/>
      <c r="B34" s="48"/>
      <c r="C34" s="97" t="s">
        <v>70</v>
      </c>
      <c r="D34" s="19" t="s">
        <v>27</v>
      </c>
      <c r="E34" s="19" t="s">
        <v>27</v>
      </c>
      <c r="F34" s="20">
        <v>0</v>
      </c>
      <c r="G34" s="20">
        <f t="shared" ref="G34:G36" si="13">F34</f>
        <v>0</v>
      </c>
      <c r="H34" s="20"/>
      <c r="I34" s="20"/>
      <c r="J34" s="20"/>
      <c r="K34" s="20"/>
      <c r="L34" s="20"/>
      <c r="M34" s="20"/>
      <c r="N34" s="20"/>
      <c r="O34" s="1"/>
    </row>
    <row r="35" spans="1:15" ht="14.25" customHeight="1">
      <c r="A35" s="48"/>
      <c r="B35" s="48"/>
      <c r="C35" s="48"/>
      <c r="D35" s="19" t="s">
        <v>90</v>
      </c>
      <c r="E35" s="19" t="s">
        <v>28</v>
      </c>
      <c r="F35" s="20">
        <v>40</v>
      </c>
      <c r="G35" s="20">
        <f t="shared" si="13"/>
        <v>40</v>
      </c>
      <c r="H35" s="20"/>
      <c r="I35" s="20"/>
      <c r="J35" s="20"/>
      <c r="K35" s="20"/>
      <c r="L35" s="20"/>
      <c r="M35" s="20"/>
      <c r="N35" s="20"/>
      <c r="O35" s="1"/>
    </row>
    <row r="36" spans="1:15" ht="14.25" customHeight="1">
      <c r="A36" s="48"/>
      <c r="B36" s="48"/>
      <c r="C36" s="48"/>
      <c r="D36" s="19" t="s">
        <v>42</v>
      </c>
      <c r="E36" s="19"/>
      <c r="F36" s="20">
        <v>90</v>
      </c>
      <c r="G36" s="20">
        <f t="shared" si="13"/>
        <v>90</v>
      </c>
      <c r="H36" s="20"/>
      <c r="I36" s="47"/>
      <c r="J36" s="20"/>
      <c r="K36" s="20" t="s">
        <v>41</v>
      </c>
      <c r="L36" s="20">
        <v>1</v>
      </c>
      <c r="M36" s="20"/>
      <c r="N36" s="20"/>
      <c r="O36" s="1"/>
    </row>
    <row r="37" spans="1:15" ht="14.25" customHeight="1">
      <c r="A37" s="48"/>
      <c r="B37" s="48"/>
      <c r="C37" s="48"/>
      <c r="D37" s="19" t="s">
        <v>33</v>
      </c>
      <c r="E37" s="19"/>
      <c r="F37" s="20">
        <v>35</v>
      </c>
      <c r="G37" s="20"/>
      <c r="H37" s="20">
        <f>F37</f>
        <v>35</v>
      </c>
      <c r="I37" s="48"/>
      <c r="J37" s="20"/>
      <c r="K37" s="20" t="s">
        <v>32</v>
      </c>
      <c r="L37" s="20"/>
      <c r="M37" s="20">
        <v>1</v>
      </c>
      <c r="N37" s="20"/>
      <c r="O37" s="1"/>
    </row>
    <row r="38" spans="1:15" ht="14.25" customHeight="1">
      <c r="A38" s="48"/>
      <c r="B38" s="48"/>
      <c r="C38" s="48"/>
      <c r="D38" s="19" t="s">
        <v>34</v>
      </c>
      <c r="E38" s="19"/>
      <c r="F38" s="20">
        <v>15</v>
      </c>
      <c r="G38" s="20">
        <f>F38</f>
        <v>15</v>
      </c>
      <c r="H38" s="20"/>
      <c r="I38" s="49"/>
      <c r="J38" s="20"/>
      <c r="K38" s="20" t="s">
        <v>41</v>
      </c>
      <c r="L38" s="20"/>
      <c r="M38" s="20">
        <v>1</v>
      </c>
      <c r="N38" s="20"/>
      <c r="O38" s="1"/>
    </row>
    <row r="39" spans="1:15" ht="14.25" customHeight="1">
      <c r="A39" s="48"/>
      <c r="B39" s="48"/>
      <c r="C39" s="48"/>
      <c r="D39" s="50" t="s">
        <v>36</v>
      </c>
      <c r="E39" s="21" t="s">
        <v>37</v>
      </c>
      <c r="F39" s="22">
        <f t="shared" ref="F39:H39" si="14">SUM(F34:F38)</f>
        <v>180</v>
      </c>
      <c r="G39" s="22">
        <f t="shared" si="14"/>
        <v>145</v>
      </c>
      <c r="H39" s="22">
        <f t="shared" si="14"/>
        <v>35</v>
      </c>
      <c r="I39" s="20"/>
      <c r="J39" s="20"/>
      <c r="K39" s="20"/>
      <c r="L39" s="20"/>
      <c r="M39" s="20"/>
      <c r="N39" s="20"/>
      <c r="O39" s="1"/>
    </row>
    <row r="40" spans="1:15" ht="14.25" customHeight="1">
      <c r="A40" s="48"/>
      <c r="B40" s="48"/>
      <c r="C40" s="48"/>
      <c r="D40" s="48"/>
      <c r="E40" s="23" t="s">
        <v>38</v>
      </c>
      <c r="F40" s="24">
        <f t="shared" ref="F40:H40" si="15">F39/60</f>
        <v>3</v>
      </c>
      <c r="G40" s="24">
        <f t="shared" si="15"/>
        <v>2.4166666666666665</v>
      </c>
      <c r="H40" s="24">
        <f t="shared" si="15"/>
        <v>0.58333333333333337</v>
      </c>
      <c r="I40" s="20"/>
      <c r="J40" s="20"/>
      <c r="K40" s="20"/>
      <c r="L40" s="20"/>
      <c r="M40" s="20"/>
      <c r="N40" s="20"/>
      <c r="O40" s="1"/>
    </row>
    <row r="41" spans="1:15" ht="14.25" customHeight="1">
      <c r="A41" s="48"/>
      <c r="B41" s="48"/>
      <c r="C41" s="49"/>
      <c r="D41" s="49"/>
      <c r="E41" s="25" t="s">
        <v>39</v>
      </c>
      <c r="F41" s="22" t="s">
        <v>40</v>
      </c>
      <c r="G41" s="26">
        <f t="shared" ref="G41:H41" si="16">G39/$F39</f>
        <v>0.80555555555555558</v>
      </c>
      <c r="H41" s="26">
        <f t="shared" si="16"/>
        <v>0.19444444444444445</v>
      </c>
      <c r="I41" s="20"/>
      <c r="J41" s="20"/>
      <c r="K41" s="20"/>
      <c r="L41" s="20"/>
      <c r="M41" s="20"/>
      <c r="N41" s="20"/>
      <c r="O41" s="1"/>
    </row>
    <row r="42" spans="1:15" ht="14.25" customHeight="1">
      <c r="A42" s="48"/>
      <c r="B42" s="48"/>
      <c r="C42" s="97" t="s">
        <v>71</v>
      </c>
      <c r="D42" s="19" t="s">
        <v>27</v>
      </c>
      <c r="E42" s="19" t="s">
        <v>44</v>
      </c>
      <c r="F42" s="20">
        <v>0</v>
      </c>
      <c r="G42" s="20">
        <f t="shared" ref="G42:G44" si="17">F42</f>
        <v>0</v>
      </c>
      <c r="H42" s="20"/>
      <c r="I42" s="20"/>
      <c r="J42" s="20"/>
      <c r="K42" s="20"/>
      <c r="L42" s="20"/>
      <c r="M42" s="20"/>
      <c r="N42" s="20"/>
      <c r="O42" s="1"/>
    </row>
    <row r="43" spans="1:15" ht="14.25" customHeight="1">
      <c r="A43" s="48"/>
      <c r="B43" s="48"/>
      <c r="C43" s="48"/>
      <c r="D43" s="19" t="s">
        <v>90</v>
      </c>
      <c r="E43" s="19" t="s">
        <v>28</v>
      </c>
      <c r="F43" s="20">
        <v>40</v>
      </c>
      <c r="G43" s="20">
        <f t="shared" si="17"/>
        <v>40</v>
      </c>
      <c r="H43" s="20"/>
      <c r="I43" s="20"/>
      <c r="J43" s="20"/>
      <c r="K43" s="20"/>
      <c r="L43" s="20"/>
      <c r="M43" s="20"/>
      <c r="N43" s="20"/>
      <c r="O43" s="1"/>
    </row>
    <row r="44" spans="1:15" ht="14.25" customHeight="1">
      <c r="A44" s="48"/>
      <c r="B44" s="48"/>
      <c r="C44" s="48"/>
      <c r="D44" s="19" t="s">
        <v>30</v>
      </c>
      <c r="E44" s="19"/>
      <c r="F44" s="20">
        <v>60</v>
      </c>
      <c r="G44" s="20">
        <f t="shared" si="17"/>
        <v>60</v>
      </c>
      <c r="H44" s="20"/>
      <c r="I44" s="47"/>
      <c r="J44" s="20" t="s">
        <v>30</v>
      </c>
      <c r="K44" s="20" t="s">
        <v>41</v>
      </c>
      <c r="L44" s="20">
        <v>1</v>
      </c>
      <c r="M44" s="20"/>
      <c r="N44" s="20"/>
      <c r="O44" s="1"/>
    </row>
    <row r="45" spans="1:15" ht="14.25" customHeight="1">
      <c r="A45" s="48"/>
      <c r="B45" s="48"/>
      <c r="C45" s="48"/>
      <c r="D45" s="19" t="s">
        <v>33</v>
      </c>
      <c r="E45" s="19"/>
      <c r="F45" s="20">
        <v>20</v>
      </c>
      <c r="G45" s="20"/>
      <c r="H45" s="20">
        <f>F45</f>
        <v>20</v>
      </c>
      <c r="I45" s="48"/>
      <c r="J45" s="20"/>
      <c r="K45" s="20" t="s">
        <v>32</v>
      </c>
      <c r="L45" s="20"/>
      <c r="M45" s="20">
        <v>1</v>
      </c>
      <c r="N45" s="20"/>
      <c r="O45" s="1"/>
    </row>
    <row r="46" spans="1:15" ht="14.25" customHeight="1">
      <c r="A46" s="48"/>
      <c r="B46" s="48"/>
      <c r="C46" s="48"/>
      <c r="D46" s="19" t="s">
        <v>34</v>
      </c>
      <c r="E46" s="19"/>
      <c r="F46" s="20">
        <v>60</v>
      </c>
      <c r="G46" s="20">
        <f>F46</f>
        <v>60</v>
      </c>
      <c r="H46" s="20"/>
      <c r="I46" s="49"/>
      <c r="J46" s="20"/>
      <c r="K46" s="20" t="s">
        <v>41</v>
      </c>
      <c r="L46" s="20">
        <v>1</v>
      </c>
      <c r="M46" s="20"/>
      <c r="N46" s="28">
        <v>0.05</v>
      </c>
      <c r="O46" s="1"/>
    </row>
    <row r="47" spans="1:15" ht="14.25" customHeight="1">
      <c r="A47" s="48"/>
      <c r="B47" s="48"/>
      <c r="C47" s="48"/>
      <c r="D47" s="50" t="s">
        <v>36</v>
      </c>
      <c r="E47" s="21" t="s">
        <v>37</v>
      </c>
      <c r="F47" s="22">
        <f t="shared" ref="F47:H47" si="18">SUM(F42:F46)</f>
        <v>180</v>
      </c>
      <c r="G47" s="22">
        <f t="shared" si="18"/>
        <v>160</v>
      </c>
      <c r="H47" s="22">
        <f t="shared" si="18"/>
        <v>20</v>
      </c>
      <c r="I47" s="20"/>
      <c r="J47" s="20"/>
      <c r="K47" s="20"/>
      <c r="L47" s="20"/>
      <c r="M47" s="20"/>
      <c r="N47" s="20"/>
      <c r="O47" s="1"/>
    </row>
    <row r="48" spans="1:15" ht="14.25" customHeight="1">
      <c r="A48" s="48"/>
      <c r="B48" s="48"/>
      <c r="C48" s="48"/>
      <c r="D48" s="48"/>
      <c r="E48" s="23" t="s">
        <v>38</v>
      </c>
      <c r="F48" s="24">
        <f t="shared" ref="F48:H48" si="19">F47/60</f>
        <v>3</v>
      </c>
      <c r="G48" s="24">
        <f t="shared" si="19"/>
        <v>2.6666666666666665</v>
      </c>
      <c r="H48" s="24">
        <f t="shared" si="19"/>
        <v>0.33333333333333331</v>
      </c>
      <c r="I48" s="20"/>
      <c r="J48" s="20"/>
      <c r="K48" s="20"/>
      <c r="L48" s="20"/>
      <c r="M48" s="20"/>
      <c r="N48" s="28"/>
      <c r="O48" s="1"/>
    </row>
    <row r="49" spans="1:15" ht="14.25" customHeight="1">
      <c r="A49" s="49"/>
      <c r="B49" s="49"/>
      <c r="C49" s="49"/>
      <c r="D49" s="49"/>
      <c r="E49" s="25" t="s">
        <v>39</v>
      </c>
      <c r="F49" s="22" t="s">
        <v>40</v>
      </c>
      <c r="G49" s="26">
        <f t="shared" ref="G49:H49" si="20">G47/$F47</f>
        <v>0.88888888888888884</v>
      </c>
      <c r="H49" s="26">
        <f t="shared" si="20"/>
        <v>0.1111111111111111</v>
      </c>
      <c r="I49" s="20"/>
      <c r="J49" s="20"/>
      <c r="K49" s="20"/>
      <c r="L49" s="20"/>
      <c r="M49" s="20"/>
      <c r="N49" s="28"/>
      <c r="O49" s="1"/>
    </row>
    <row r="50" spans="1:15" ht="14.25" customHeight="1">
      <c r="A50" s="95" t="s">
        <v>76</v>
      </c>
      <c r="B50" s="29"/>
      <c r="C50" s="81" t="s">
        <v>72</v>
      </c>
      <c r="D50" s="19" t="s">
        <v>27</v>
      </c>
      <c r="E50" s="19" t="s">
        <v>27</v>
      </c>
      <c r="F50" s="20">
        <v>0</v>
      </c>
      <c r="G50" s="20">
        <f t="shared" ref="G50:G52" si="21">F50</f>
        <v>0</v>
      </c>
      <c r="H50" s="20"/>
      <c r="I50" s="19"/>
      <c r="J50" s="20"/>
      <c r="K50" s="20"/>
      <c r="L50" s="20"/>
      <c r="M50" s="20"/>
      <c r="N50" s="20"/>
      <c r="O50" s="1"/>
    </row>
    <row r="51" spans="1:15" ht="14.25" customHeight="1">
      <c r="A51" s="48"/>
      <c r="B51" s="96" t="s">
        <v>75</v>
      </c>
      <c r="C51" s="48"/>
      <c r="D51" s="19" t="s">
        <v>90</v>
      </c>
      <c r="E51" s="19" t="s">
        <v>28</v>
      </c>
      <c r="F51" s="20">
        <v>40</v>
      </c>
      <c r="G51" s="20">
        <f t="shared" si="21"/>
        <v>40</v>
      </c>
      <c r="H51" s="20"/>
      <c r="I51" s="20"/>
      <c r="J51" s="20"/>
      <c r="K51" s="20"/>
      <c r="L51" s="20"/>
      <c r="M51" s="20"/>
      <c r="N51" s="20"/>
      <c r="O51" s="1"/>
    </row>
    <row r="52" spans="1:15" ht="14.25" customHeight="1">
      <c r="A52" s="48"/>
      <c r="B52" s="48"/>
      <c r="C52" s="48"/>
      <c r="D52" s="19" t="s">
        <v>30</v>
      </c>
      <c r="E52" s="19"/>
      <c r="F52" s="20">
        <v>55</v>
      </c>
      <c r="G52" s="20">
        <f t="shared" si="21"/>
        <v>55</v>
      </c>
      <c r="H52" s="20"/>
      <c r="I52" s="47"/>
      <c r="J52" s="20" t="s">
        <v>30</v>
      </c>
      <c r="K52" s="20" t="s">
        <v>41</v>
      </c>
      <c r="L52" s="20">
        <v>1</v>
      </c>
      <c r="M52" s="20"/>
      <c r="N52" s="20"/>
      <c r="O52" s="1"/>
    </row>
    <row r="53" spans="1:15" ht="14.25" customHeight="1">
      <c r="A53" s="48"/>
      <c r="B53" s="48"/>
      <c r="C53" s="48"/>
      <c r="D53" s="19" t="s">
        <v>33</v>
      </c>
      <c r="E53" s="19"/>
      <c r="F53" s="20">
        <v>10</v>
      </c>
      <c r="G53" s="20"/>
      <c r="H53" s="20">
        <f t="shared" ref="H53:H54" si="22">F53</f>
        <v>10</v>
      </c>
      <c r="I53" s="48"/>
      <c r="J53" s="20"/>
      <c r="K53" s="20" t="s">
        <v>32</v>
      </c>
      <c r="L53" s="20"/>
      <c r="M53" s="20">
        <v>1</v>
      </c>
      <c r="N53" s="20"/>
      <c r="O53" s="1"/>
    </row>
    <row r="54" spans="1:15" ht="14.25" customHeight="1">
      <c r="A54" s="48"/>
      <c r="B54" s="48"/>
      <c r="C54" s="48"/>
      <c r="D54" s="19" t="s">
        <v>42</v>
      </c>
      <c r="E54" s="19"/>
      <c r="F54" s="20">
        <v>60</v>
      </c>
      <c r="G54" s="20"/>
      <c r="H54" s="20">
        <f t="shared" si="22"/>
        <v>60</v>
      </c>
      <c r="I54" s="48"/>
      <c r="J54" s="20"/>
      <c r="K54" s="20" t="s">
        <v>41</v>
      </c>
      <c r="L54" s="20">
        <v>1</v>
      </c>
      <c r="M54" s="20"/>
      <c r="N54" s="20"/>
      <c r="O54" s="1"/>
    </row>
    <row r="55" spans="1:15" ht="14.25" customHeight="1">
      <c r="A55" s="48"/>
      <c r="B55" s="48"/>
      <c r="C55" s="48"/>
      <c r="D55" s="19" t="s">
        <v>34</v>
      </c>
      <c r="E55" s="19"/>
      <c r="F55" s="20">
        <v>15</v>
      </c>
      <c r="G55" s="20">
        <f>F55</f>
        <v>15</v>
      </c>
      <c r="H55" s="20"/>
      <c r="I55" s="49"/>
      <c r="J55" s="20"/>
      <c r="K55" s="20" t="s">
        <v>41</v>
      </c>
      <c r="L55" s="20"/>
      <c r="M55" s="20">
        <v>1</v>
      </c>
      <c r="N55" s="20"/>
      <c r="O55" s="1"/>
    </row>
    <row r="56" spans="1:15" ht="14.25" customHeight="1">
      <c r="A56" s="48"/>
      <c r="B56" s="48"/>
      <c r="C56" s="48"/>
      <c r="D56" s="50" t="s">
        <v>36</v>
      </c>
      <c r="E56" s="21" t="s">
        <v>37</v>
      </c>
      <c r="F56" s="22">
        <f t="shared" ref="F56:H56" si="23">SUM(F50:F55)</f>
        <v>180</v>
      </c>
      <c r="G56" s="22">
        <f t="shared" si="23"/>
        <v>110</v>
      </c>
      <c r="H56" s="22">
        <f t="shared" si="23"/>
        <v>70</v>
      </c>
      <c r="I56" s="19"/>
      <c r="J56" s="20"/>
      <c r="K56" s="20"/>
      <c r="L56" s="20"/>
      <c r="M56" s="20"/>
      <c r="N56" s="20"/>
      <c r="O56" s="1"/>
    </row>
    <row r="57" spans="1:15" ht="14.25" customHeight="1">
      <c r="A57" s="48"/>
      <c r="B57" s="48"/>
      <c r="C57" s="48"/>
      <c r="D57" s="48"/>
      <c r="E57" s="23" t="s">
        <v>38</v>
      </c>
      <c r="F57" s="24">
        <f t="shared" ref="F57:H57" si="24">F56/60</f>
        <v>3</v>
      </c>
      <c r="G57" s="24">
        <f t="shared" si="24"/>
        <v>1.8333333333333333</v>
      </c>
      <c r="H57" s="24">
        <f t="shared" si="24"/>
        <v>1.1666666666666667</v>
      </c>
      <c r="I57" s="19"/>
      <c r="J57" s="20"/>
      <c r="K57" s="20"/>
      <c r="L57" s="20"/>
      <c r="M57" s="20"/>
      <c r="N57" s="20"/>
      <c r="O57" s="1"/>
    </row>
    <row r="58" spans="1:15" ht="14.25" customHeight="1">
      <c r="A58" s="48"/>
      <c r="B58" s="48"/>
      <c r="C58" s="49"/>
      <c r="D58" s="49"/>
      <c r="E58" s="25" t="s">
        <v>39</v>
      </c>
      <c r="F58" s="22" t="s">
        <v>40</v>
      </c>
      <c r="G58" s="26">
        <f t="shared" ref="G58:H58" si="25">G56/$F56</f>
        <v>0.61111111111111116</v>
      </c>
      <c r="H58" s="26">
        <f t="shared" si="25"/>
        <v>0.3888888888888889</v>
      </c>
      <c r="I58" s="19"/>
      <c r="J58" s="20"/>
      <c r="K58" s="20"/>
      <c r="L58" s="20"/>
      <c r="M58" s="20"/>
      <c r="N58" s="20"/>
      <c r="O58" s="1"/>
    </row>
    <row r="59" spans="1:15" ht="14.25" customHeight="1">
      <c r="A59" s="48"/>
      <c r="B59" s="48"/>
      <c r="C59" s="81" t="s">
        <v>73</v>
      </c>
      <c r="D59" s="19" t="s">
        <v>27</v>
      </c>
      <c r="E59" s="19" t="s">
        <v>44</v>
      </c>
      <c r="F59" s="20">
        <v>0</v>
      </c>
      <c r="G59" s="20">
        <f t="shared" ref="G59:G61" si="26">F59</f>
        <v>0</v>
      </c>
      <c r="H59" s="20"/>
      <c r="I59" s="19"/>
      <c r="J59" s="20"/>
      <c r="K59" s="20"/>
      <c r="L59" s="20"/>
      <c r="M59" s="20"/>
      <c r="N59" s="20"/>
      <c r="O59" s="1"/>
    </row>
    <row r="60" spans="1:15" ht="14.25" customHeight="1">
      <c r="A60" s="48"/>
      <c r="B60" s="48"/>
      <c r="C60" s="48"/>
      <c r="D60" s="19" t="s">
        <v>90</v>
      </c>
      <c r="E60" s="19" t="s">
        <v>28</v>
      </c>
      <c r="F60" s="20">
        <v>40</v>
      </c>
      <c r="G60" s="20">
        <f t="shared" si="26"/>
        <v>40</v>
      </c>
      <c r="H60" s="20"/>
      <c r="I60" s="20"/>
      <c r="J60" s="20"/>
      <c r="K60" s="20"/>
      <c r="L60" s="20"/>
      <c r="M60" s="20"/>
      <c r="N60" s="20"/>
      <c r="O60" s="1"/>
    </row>
    <row r="61" spans="1:15" ht="14.25" customHeight="1">
      <c r="A61" s="48"/>
      <c r="B61" s="48"/>
      <c r="C61" s="48"/>
      <c r="D61" s="19" t="s">
        <v>30</v>
      </c>
      <c r="E61" s="19"/>
      <c r="F61" s="20">
        <v>60</v>
      </c>
      <c r="G61" s="20">
        <f t="shared" si="26"/>
        <v>60</v>
      </c>
      <c r="H61" s="20"/>
      <c r="I61" s="47"/>
      <c r="J61" s="20" t="s">
        <v>30</v>
      </c>
      <c r="K61" s="20" t="s">
        <v>41</v>
      </c>
      <c r="L61" s="20">
        <v>1</v>
      </c>
      <c r="M61" s="20"/>
      <c r="N61" s="20"/>
      <c r="O61" s="1"/>
    </row>
    <row r="62" spans="1:15" ht="14.25" customHeight="1">
      <c r="A62" s="48"/>
      <c r="B62" s="48"/>
      <c r="C62" s="48"/>
      <c r="D62" s="19" t="s">
        <v>33</v>
      </c>
      <c r="E62" s="19"/>
      <c r="F62" s="20">
        <v>10</v>
      </c>
      <c r="G62" s="20"/>
      <c r="H62" s="20">
        <f t="shared" ref="H62:H63" si="27">F62</f>
        <v>10</v>
      </c>
      <c r="I62" s="48"/>
      <c r="J62" s="20"/>
      <c r="K62" s="20" t="s">
        <v>32</v>
      </c>
      <c r="L62" s="20"/>
      <c r="M62" s="20">
        <v>1</v>
      </c>
      <c r="N62" s="20"/>
      <c r="O62" s="1"/>
    </row>
    <row r="63" spans="1:15" ht="14.25" customHeight="1">
      <c r="A63" s="48"/>
      <c r="B63" s="48"/>
      <c r="C63" s="48"/>
      <c r="D63" s="19" t="s">
        <v>42</v>
      </c>
      <c r="E63" s="19"/>
      <c r="F63" s="20">
        <v>55</v>
      </c>
      <c r="G63" s="20"/>
      <c r="H63" s="20">
        <f t="shared" si="27"/>
        <v>55</v>
      </c>
      <c r="I63" s="48"/>
      <c r="J63" s="20"/>
      <c r="K63" s="20" t="s">
        <v>41</v>
      </c>
      <c r="L63" s="20">
        <v>1</v>
      </c>
      <c r="M63" s="20"/>
      <c r="N63" s="20"/>
      <c r="O63" s="1"/>
    </row>
    <row r="64" spans="1:15" ht="14.25" customHeight="1">
      <c r="A64" s="48"/>
      <c r="B64" s="48"/>
      <c r="C64" s="48"/>
      <c r="D64" s="19" t="s">
        <v>34</v>
      </c>
      <c r="E64" s="19"/>
      <c r="F64" s="20">
        <v>15</v>
      </c>
      <c r="G64" s="20">
        <f>F64</f>
        <v>15</v>
      </c>
      <c r="H64" s="20"/>
      <c r="I64" s="49"/>
      <c r="J64" s="20"/>
      <c r="K64" s="20" t="s">
        <v>41</v>
      </c>
      <c r="L64" s="20"/>
      <c r="M64" s="20">
        <v>1</v>
      </c>
      <c r="N64" s="20"/>
      <c r="O64" s="1"/>
    </row>
    <row r="65" spans="1:15" ht="14.25" customHeight="1">
      <c r="A65" s="48"/>
      <c r="B65" s="48"/>
      <c r="C65" s="48"/>
      <c r="D65" s="50" t="s">
        <v>36</v>
      </c>
      <c r="E65" s="21" t="s">
        <v>37</v>
      </c>
      <c r="F65" s="22">
        <f t="shared" ref="F65:H65" si="28">SUM(F59:F64)</f>
        <v>180</v>
      </c>
      <c r="G65" s="22">
        <f t="shared" si="28"/>
        <v>115</v>
      </c>
      <c r="H65" s="22">
        <f t="shared" si="28"/>
        <v>65</v>
      </c>
      <c r="I65" s="20"/>
      <c r="J65" s="20"/>
      <c r="K65" s="20"/>
      <c r="L65" s="20"/>
      <c r="M65" s="20"/>
      <c r="N65" s="20"/>
      <c r="O65" s="1"/>
    </row>
    <row r="66" spans="1:15" ht="14.25" customHeight="1">
      <c r="A66" s="48"/>
      <c r="B66" s="48"/>
      <c r="C66" s="48"/>
      <c r="D66" s="48"/>
      <c r="E66" s="23" t="s">
        <v>38</v>
      </c>
      <c r="F66" s="24">
        <f t="shared" ref="F66:H66" si="29">F65/60</f>
        <v>3</v>
      </c>
      <c r="G66" s="24">
        <f t="shared" si="29"/>
        <v>1.9166666666666667</v>
      </c>
      <c r="H66" s="24">
        <f t="shared" si="29"/>
        <v>1.0833333333333333</v>
      </c>
      <c r="I66" s="20"/>
      <c r="J66" s="20"/>
      <c r="K66" s="20"/>
      <c r="L66" s="20"/>
      <c r="M66" s="20"/>
      <c r="N66" s="20"/>
      <c r="O66" s="1"/>
    </row>
    <row r="67" spans="1:15" ht="14.25" customHeight="1">
      <c r="A67" s="48"/>
      <c r="B67" s="48"/>
      <c r="C67" s="49"/>
      <c r="D67" s="49"/>
      <c r="E67" s="25" t="s">
        <v>39</v>
      </c>
      <c r="F67" s="22" t="s">
        <v>40</v>
      </c>
      <c r="G67" s="26">
        <f t="shared" ref="G67:H67" si="30">G65/$F65</f>
        <v>0.63888888888888884</v>
      </c>
      <c r="H67" s="26">
        <f t="shared" si="30"/>
        <v>0.3611111111111111</v>
      </c>
      <c r="I67" s="20"/>
      <c r="J67" s="20"/>
      <c r="K67" s="20"/>
      <c r="L67" s="20"/>
      <c r="M67" s="20"/>
      <c r="N67" s="20"/>
      <c r="O67" s="1"/>
    </row>
    <row r="68" spans="1:15" ht="14.25" customHeight="1">
      <c r="A68" s="48"/>
      <c r="B68" s="48"/>
      <c r="C68" s="81" t="s">
        <v>74</v>
      </c>
      <c r="D68" s="19" t="s">
        <v>27</v>
      </c>
      <c r="E68" s="19" t="s">
        <v>44</v>
      </c>
      <c r="F68" s="20">
        <v>0</v>
      </c>
      <c r="G68" s="20">
        <f t="shared" ref="G68:G70" si="31">F68</f>
        <v>0</v>
      </c>
      <c r="H68" s="20"/>
      <c r="I68" s="20"/>
      <c r="J68" s="20"/>
      <c r="K68" s="20"/>
      <c r="L68" s="20"/>
      <c r="M68" s="20"/>
      <c r="N68" s="20"/>
      <c r="O68" s="1"/>
    </row>
    <row r="69" spans="1:15" ht="14.25" customHeight="1">
      <c r="A69" s="48"/>
      <c r="B69" s="48"/>
      <c r="C69" s="48"/>
      <c r="D69" s="19" t="s">
        <v>90</v>
      </c>
      <c r="E69" s="19" t="s">
        <v>28</v>
      </c>
      <c r="F69" s="20">
        <v>40</v>
      </c>
      <c r="G69" s="20">
        <f t="shared" si="31"/>
        <v>40</v>
      </c>
      <c r="H69" s="20"/>
      <c r="I69" s="20"/>
      <c r="J69" s="20"/>
      <c r="K69" s="20"/>
      <c r="L69" s="20"/>
      <c r="M69" s="20"/>
      <c r="N69" s="20"/>
      <c r="O69" s="1"/>
    </row>
    <row r="70" spans="1:15" ht="14.25" customHeight="1">
      <c r="A70" s="48"/>
      <c r="B70" s="48"/>
      <c r="C70" s="48"/>
      <c r="D70" s="19" t="s">
        <v>30</v>
      </c>
      <c r="E70" s="19"/>
      <c r="F70" s="20">
        <v>50</v>
      </c>
      <c r="G70" s="20">
        <f t="shared" si="31"/>
        <v>50</v>
      </c>
      <c r="H70" s="20"/>
      <c r="I70" s="47"/>
      <c r="J70" s="20" t="s">
        <v>30</v>
      </c>
      <c r="K70" s="20" t="s">
        <v>41</v>
      </c>
      <c r="L70" s="20">
        <v>1</v>
      </c>
      <c r="M70" s="20"/>
      <c r="N70" s="20"/>
      <c r="O70" s="1"/>
    </row>
    <row r="71" spans="1:15" ht="14.25" customHeight="1">
      <c r="A71" s="48"/>
      <c r="B71" s="48"/>
      <c r="C71" s="48"/>
      <c r="D71" s="19" t="s">
        <v>42</v>
      </c>
      <c r="E71" s="19"/>
      <c r="F71" s="20">
        <v>45</v>
      </c>
      <c r="G71" s="20"/>
      <c r="H71" s="20">
        <f t="shared" ref="H71:H72" si="32">F71</f>
        <v>45</v>
      </c>
      <c r="I71" s="48"/>
      <c r="J71" s="20"/>
      <c r="K71" s="20" t="s">
        <v>41</v>
      </c>
      <c r="L71" s="20">
        <v>1</v>
      </c>
      <c r="M71" s="20"/>
      <c r="N71" s="20"/>
      <c r="O71" s="1"/>
    </row>
    <row r="72" spans="1:15" ht="14.25" customHeight="1">
      <c r="A72" s="48"/>
      <c r="B72" s="48"/>
      <c r="C72" s="48"/>
      <c r="D72" s="19" t="s">
        <v>33</v>
      </c>
      <c r="E72" s="19"/>
      <c r="F72" s="20">
        <v>30</v>
      </c>
      <c r="G72" s="20"/>
      <c r="H72" s="20">
        <f t="shared" si="32"/>
        <v>30</v>
      </c>
      <c r="I72" s="48"/>
      <c r="J72" s="20"/>
      <c r="K72" s="20" t="s">
        <v>32</v>
      </c>
      <c r="L72" s="20"/>
      <c r="M72" s="20">
        <v>1</v>
      </c>
      <c r="N72" s="20"/>
      <c r="O72" s="1"/>
    </row>
    <row r="73" spans="1:15" ht="14.25" customHeight="1">
      <c r="A73" s="48"/>
      <c r="B73" s="48"/>
      <c r="C73" s="48"/>
      <c r="D73" s="19" t="s">
        <v>34</v>
      </c>
      <c r="E73" s="19"/>
      <c r="F73" s="20">
        <v>15</v>
      </c>
      <c r="G73" s="20">
        <f t="shared" ref="G73" si="33">F73</f>
        <v>15</v>
      </c>
      <c r="H73" s="20"/>
      <c r="I73" s="49"/>
      <c r="J73" s="20"/>
      <c r="K73" s="20" t="s">
        <v>41</v>
      </c>
      <c r="L73" s="20"/>
      <c r="M73" s="20">
        <v>1</v>
      </c>
      <c r="N73" s="20"/>
      <c r="O73" s="1"/>
    </row>
    <row r="74" spans="1:15" ht="14.25" customHeight="1">
      <c r="A74" s="48"/>
      <c r="B74" s="48"/>
      <c r="C74" s="48"/>
      <c r="D74" s="50" t="s">
        <v>36</v>
      </c>
      <c r="E74" s="21" t="s">
        <v>37</v>
      </c>
      <c r="F74" s="22">
        <f>SUM(F68:F73)</f>
        <v>180</v>
      </c>
      <c r="G74" s="22">
        <f>SUM(G68:G73)</f>
        <v>105</v>
      </c>
      <c r="H74" s="22">
        <f>SUM(H68:H73)</f>
        <v>75</v>
      </c>
      <c r="I74" s="20"/>
      <c r="J74" s="20"/>
      <c r="K74" s="20"/>
      <c r="L74" s="20"/>
      <c r="M74" s="20"/>
      <c r="N74" s="20"/>
      <c r="O74" s="1"/>
    </row>
    <row r="75" spans="1:15" ht="14.25" customHeight="1">
      <c r="A75" s="48"/>
      <c r="B75" s="48"/>
      <c r="C75" s="48"/>
      <c r="D75" s="48"/>
      <c r="E75" s="23" t="s">
        <v>38</v>
      </c>
      <c r="F75" s="24">
        <f t="shared" ref="F75:H75" si="34">F74/60</f>
        <v>3</v>
      </c>
      <c r="G75" s="24">
        <f t="shared" si="34"/>
        <v>1.75</v>
      </c>
      <c r="H75" s="24">
        <f t="shared" si="34"/>
        <v>1.25</v>
      </c>
      <c r="I75" s="20"/>
      <c r="J75" s="20"/>
      <c r="K75" s="20"/>
      <c r="L75" s="20"/>
      <c r="M75" s="20"/>
      <c r="N75" s="20"/>
      <c r="O75" s="1"/>
    </row>
    <row r="76" spans="1:15" ht="14.25" customHeight="1">
      <c r="A76" s="48"/>
      <c r="B76" s="48"/>
      <c r="C76" s="49"/>
      <c r="D76" s="49"/>
      <c r="E76" s="25" t="s">
        <v>39</v>
      </c>
      <c r="F76" s="22" t="s">
        <v>40</v>
      </c>
      <c r="G76" s="26">
        <f t="shared" ref="G76:H76" si="35">G74/$F74</f>
        <v>0.58333333333333337</v>
      </c>
      <c r="H76" s="26">
        <f t="shared" si="35"/>
        <v>0.41666666666666669</v>
      </c>
      <c r="I76" s="20"/>
      <c r="J76" s="20"/>
      <c r="K76" s="20"/>
      <c r="L76" s="20"/>
      <c r="M76" s="20"/>
      <c r="N76" s="20"/>
      <c r="O76" s="1"/>
    </row>
    <row r="77" spans="1:15" ht="14.25" customHeight="1">
      <c r="A77" s="48"/>
      <c r="B77" s="48"/>
      <c r="C77" s="81" t="s">
        <v>77</v>
      </c>
      <c r="D77" s="19" t="s">
        <v>27</v>
      </c>
      <c r="E77" s="19" t="s">
        <v>27</v>
      </c>
      <c r="F77" s="20">
        <v>0</v>
      </c>
      <c r="G77" s="20">
        <f t="shared" ref="G77:G78" si="36">F77</f>
        <v>0</v>
      </c>
      <c r="H77" s="20"/>
      <c r="I77" s="20"/>
      <c r="J77" s="20"/>
      <c r="K77" s="20"/>
      <c r="L77" s="20"/>
      <c r="M77" s="20"/>
      <c r="N77" s="20"/>
      <c r="O77" s="1"/>
    </row>
    <row r="78" spans="1:15" ht="14.25" customHeight="1">
      <c r="A78" s="48"/>
      <c r="B78" s="48"/>
      <c r="C78" s="48"/>
      <c r="D78" s="19" t="s">
        <v>90</v>
      </c>
      <c r="E78" s="19" t="s">
        <v>28</v>
      </c>
      <c r="F78" s="20">
        <v>40</v>
      </c>
      <c r="G78" s="20">
        <f t="shared" si="36"/>
        <v>40</v>
      </c>
      <c r="H78" s="20"/>
      <c r="I78" s="20"/>
      <c r="J78" s="20"/>
      <c r="K78" s="20"/>
      <c r="L78" s="20"/>
      <c r="M78" s="20"/>
      <c r="N78" s="20"/>
      <c r="O78" s="1"/>
    </row>
    <row r="79" spans="1:15" ht="14.25" customHeight="1">
      <c r="A79" s="48"/>
      <c r="B79" s="48"/>
      <c r="C79" s="48"/>
      <c r="D79" s="19" t="s">
        <v>33</v>
      </c>
      <c r="E79" s="19"/>
      <c r="F79" s="20">
        <v>10</v>
      </c>
      <c r="G79" s="20"/>
      <c r="H79" s="20">
        <f>F79</f>
        <v>10</v>
      </c>
      <c r="I79" s="47"/>
      <c r="J79" s="20"/>
      <c r="K79" s="20" t="s">
        <v>32</v>
      </c>
      <c r="L79" s="20"/>
      <c r="M79" s="20">
        <v>1</v>
      </c>
      <c r="N79" s="20"/>
      <c r="O79" s="1"/>
    </row>
    <row r="80" spans="1:15" ht="14.25" customHeight="1">
      <c r="A80" s="48"/>
      <c r="B80" s="48"/>
      <c r="C80" s="48"/>
      <c r="D80" s="19" t="s">
        <v>30</v>
      </c>
      <c r="E80" s="19"/>
      <c r="F80" s="20">
        <v>35</v>
      </c>
      <c r="G80" s="20">
        <f>F80</f>
        <v>35</v>
      </c>
      <c r="H80" s="20"/>
      <c r="I80" s="48"/>
      <c r="J80" s="20" t="s">
        <v>30</v>
      </c>
      <c r="K80" s="20" t="s">
        <v>41</v>
      </c>
      <c r="L80" s="20">
        <v>1</v>
      </c>
      <c r="M80" s="20"/>
      <c r="N80" s="20"/>
      <c r="O80" s="1"/>
    </row>
    <row r="81" spans="1:15" ht="14.25" customHeight="1">
      <c r="A81" s="48"/>
      <c r="B81" s="48"/>
      <c r="C81" s="48"/>
      <c r="D81" s="19" t="s">
        <v>42</v>
      </c>
      <c r="E81" s="19"/>
      <c r="F81" s="20">
        <v>50</v>
      </c>
      <c r="G81" s="20"/>
      <c r="H81" s="20">
        <f t="shared" ref="H81:H82" si="37">F81</f>
        <v>50</v>
      </c>
      <c r="I81" s="48"/>
      <c r="J81" s="20"/>
      <c r="K81" s="20" t="s">
        <v>41</v>
      </c>
      <c r="L81" s="20">
        <v>1</v>
      </c>
      <c r="M81" s="20"/>
      <c r="N81" s="20"/>
      <c r="O81" s="1"/>
    </row>
    <row r="82" spans="1:15" ht="14.25" customHeight="1">
      <c r="A82" s="48"/>
      <c r="B82" s="48"/>
      <c r="C82" s="48"/>
      <c r="D82" s="19" t="s">
        <v>34</v>
      </c>
      <c r="E82" s="19"/>
      <c r="F82" s="20">
        <v>45</v>
      </c>
      <c r="G82" s="20"/>
      <c r="H82" s="20">
        <f t="shared" si="37"/>
        <v>45</v>
      </c>
      <c r="I82" s="49"/>
      <c r="J82" s="20"/>
      <c r="K82" s="20" t="s">
        <v>41</v>
      </c>
      <c r="L82" s="20">
        <v>1</v>
      </c>
      <c r="M82" s="20"/>
      <c r="N82" s="20"/>
      <c r="O82" s="1"/>
    </row>
    <row r="83" spans="1:15" ht="14.25" customHeight="1">
      <c r="A83" s="48"/>
      <c r="B83" s="48"/>
      <c r="C83" s="48"/>
      <c r="D83" s="50" t="s">
        <v>36</v>
      </c>
      <c r="E83" s="21" t="s">
        <v>37</v>
      </c>
      <c r="F83" s="22">
        <f t="shared" ref="F83:H83" si="38">SUM(F77:F82)</f>
        <v>180</v>
      </c>
      <c r="G83" s="22">
        <f t="shared" si="38"/>
        <v>75</v>
      </c>
      <c r="H83" s="22">
        <f t="shared" si="38"/>
        <v>105</v>
      </c>
      <c r="I83" s="20"/>
      <c r="J83" s="20"/>
      <c r="K83" s="20"/>
      <c r="L83" s="20"/>
      <c r="M83" s="20"/>
      <c r="N83" s="20"/>
      <c r="O83" s="1"/>
    </row>
    <row r="84" spans="1:15" ht="14.25" customHeight="1">
      <c r="A84" s="48"/>
      <c r="B84" s="48"/>
      <c r="C84" s="48"/>
      <c r="D84" s="48"/>
      <c r="E84" s="23" t="s">
        <v>38</v>
      </c>
      <c r="F84" s="24">
        <f t="shared" ref="F84:H84" si="39">F83/60</f>
        <v>3</v>
      </c>
      <c r="G84" s="24">
        <f t="shared" si="39"/>
        <v>1.25</v>
      </c>
      <c r="H84" s="24">
        <f t="shared" si="39"/>
        <v>1.75</v>
      </c>
      <c r="I84" s="20"/>
      <c r="J84" s="20"/>
      <c r="K84" s="20"/>
      <c r="L84" s="20"/>
      <c r="M84" s="20"/>
      <c r="N84" s="20"/>
      <c r="O84" s="1"/>
    </row>
    <row r="85" spans="1:15" ht="14.25" customHeight="1">
      <c r="A85" s="48"/>
      <c r="B85" s="48"/>
      <c r="C85" s="49"/>
      <c r="D85" s="49"/>
      <c r="E85" s="25" t="s">
        <v>39</v>
      </c>
      <c r="F85" s="22" t="s">
        <v>40</v>
      </c>
      <c r="G85" s="26">
        <f t="shared" ref="G85:H85" si="40">G83/$F83</f>
        <v>0.41666666666666669</v>
      </c>
      <c r="H85" s="26">
        <f t="shared" si="40"/>
        <v>0.58333333333333337</v>
      </c>
      <c r="I85" s="20"/>
      <c r="J85" s="20"/>
      <c r="K85" s="20"/>
      <c r="L85" s="20"/>
      <c r="M85" s="20"/>
      <c r="N85" s="20"/>
      <c r="O85" s="1"/>
    </row>
    <row r="86" spans="1:15" ht="14.25" customHeight="1">
      <c r="A86" s="48"/>
      <c r="B86" s="48"/>
      <c r="C86" s="81" t="s">
        <v>78</v>
      </c>
      <c r="D86" s="19" t="s">
        <v>27</v>
      </c>
      <c r="E86" s="19" t="s">
        <v>27</v>
      </c>
      <c r="F86" s="20">
        <v>0</v>
      </c>
      <c r="G86" s="20">
        <f t="shared" ref="G86:G88" si="41">F86</f>
        <v>0</v>
      </c>
      <c r="H86" s="20"/>
      <c r="I86" s="20"/>
      <c r="J86" s="20"/>
      <c r="K86" s="20"/>
      <c r="L86" s="20"/>
      <c r="M86" s="20"/>
      <c r="N86" s="20"/>
      <c r="O86" s="1"/>
    </row>
    <row r="87" spans="1:15" ht="14.25" customHeight="1">
      <c r="A87" s="48"/>
      <c r="B87" s="48"/>
      <c r="C87" s="48"/>
      <c r="D87" s="19" t="s">
        <v>90</v>
      </c>
      <c r="E87" s="19" t="s">
        <v>28</v>
      </c>
      <c r="F87" s="20">
        <v>40</v>
      </c>
      <c r="G87" s="20">
        <f t="shared" si="41"/>
        <v>40</v>
      </c>
      <c r="H87" s="20"/>
      <c r="I87" s="20"/>
      <c r="J87" s="20"/>
      <c r="K87" s="20"/>
      <c r="L87" s="20"/>
      <c r="M87" s="20"/>
      <c r="N87" s="20"/>
      <c r="O87" s="1"/>
    </row>
    <row r="88" spans="1:15" ht="14.25" customHeight="1">
      <c r="A88" s="48"/>
      <c r="B88" s="48"/>
      <c r="C88" s="48"/>
      <c r="D88" s="19" t="s">
        <v>30</v>
      </c>
      <c r="E88" s="19"/>
      <c r="F88" s="20">
        <v>55</v>
      </c>
      <c r="G88" s="20">
        <f t="shared" si="41"/>
        <v>55</v>
      </c>
      <c r="H88" s="20"/>
      <c r="I88" s="47"/>
      <c r="J88" s="20" t="s">
        <v>30</v>
      </c>
      <c r="K88" s="20" t="s">
        <v>41</v>
      </c>
      <c r="L88" s="20">
        <v>1</v>
      </c>
      <c r="M88" s="20"/>
      <c r="N88" s="20"/>
      <c r="O88" s="1"/>
    </row>
    <row r="89" spans="1:15" ht="14.25" customHeight="1">
      <c r="A89" s="48"/>
      <c r="B89" s="48"/>
      <c r="C89" s="48"/>
      <c r="D89" s="19" t="s">
        <v>42</v>
      </c>
      <c r="E89" s="19"/>
      <c r="F89" s="20">
        <v>45</v>
      </c>
      <c r="G89" s="20"/>
      <c r="H89" s="20">
        <f t="shared" ref="H89:H90" si="42">F89</f>
        <v>45</v>
      </c>
      <c r="I89" s="48"/>
      <c r="J89" s="20"/>
      <c r="K89" s="20" t="s">
        <v>41</v>
      </c>
      <c r="L89" s="20">
        <v>1</v>
      </c>
      <c r="M89" s="20"/>
      <c r="N89" s="20"/>
      <c r="O89" s="1"/>
    </row>
    <row r="90" spans="1:15" ht="14.25" customHeight="1">
      <c r="A90" s="48"/>
      <c r="B90" s="48"/>
      <c r="C90" s="48"/>
      <c r="D90" s="19" t="s">
        <v>34</v>
      </c>
      <c r="E90" s="19"/>
      <c r="F90" s="20">
        <v>40</v>
      </c>
      <c r="G90" s="20"/>
      <c r="H90" s="20">
        <f t="shared" si="42"/>
        <v>40</v>
      </c>
      <c r="I90" s="49"/>
      <c r="J90" s="20"/>
      <c r="K90" s="20" t="s">
        <v>41</v>
      </c>
      <c r="L90" s="20">
        <v>1</v>
      </c>
      <c r="M90" s="20"/>
      <c r="N90" s="20"/>
      <c r="O90" s="1"/>
    </row>
    <row r="91" spans="1:15" ht="14.25" customHeight="1">
      <c r="A91" s="48"/>
      <c r="B91" s="48"/>
      <c r="C91" s="48"/>
      <c r="D91" s="50" t="s">
        <v>36</v>
      </c>
      <c r="E91" s="21" t="s">
        <v>37</v>
      </c>
      <c r="F91" s="22">
        <f t="shared" ref="F91:H91" si="43">SUM(F86:F90)</f>
        <v>180</v>
      </c>
      <c r="G91" s="22">
        <f t="shared" si="43"/>
        <v>95</v>
      </c>
      <c r="H91" s="22">
        <f t="shared" si="43"/>
        <v>85</v>
      </c>
      <c r="I91" s="20"/>
      <c r="J91" s="20"/>
      <c r="K91" s="20"/>
      <c r="L91" s="20"/>
      <c r="M91" s="20"/>
      <c r="N91" s="20"/>
      <c r="O91" s="1"/>
    </row>
    <row r="92" spans="1:15" ht="14.25" customHeight="1">
      <c r="A92" s="48"/>
      <c r="B92" s="48"/>
      <c r="C92" s="48"/>
      <c r="D92" s="48"/>
      <c r="E92" s="23" t="s">
        <v>38</v>
      </c>
      <c r="F92" s="24">
        <f t="shared" ref="F92:H92" si="44">F91/60</f>
        <v>3</v>
      </c>
      <c r="G92" s="24">
        <f t="shared" si="44"/>
        <v>1.5833333333333333</v>
      </c>
      <c r="H92" s="24">
        <f t="shared" si="44"/>
        <v>1.4166666666666667</v>
      </c>
      <c r="I92" s="20"/>
      <c r="J92" s="20"/>
      <c r="K92" s="20"/>
      <c r="L92" s="20"/>
      <c r="M92" s="20"/>
      <c r="N92" s="20"/>
      <c r="O92" s="1"/>
    </row>
    <row r="93" spans="1:15" ht="14.25" customHeight="1">
      <c r="A93" s="48"/>
      <c r="B93" s="48"/>
      <c r="C93" s="49"/>
      <c r="D93" s="49"/>
      <c r="E93" s="25" t="s">
        <v>39</v>
      </c>
      <c r="F93" s="22" t="s">
        <v>40</v>
      </c>
      <c r="G93" s="26">
        <f t="shared" ref="G93:H93" si="45">G91/$F91</f>
        <v>0.52777777777777779</v>
      </c>
      <c r="H93" s="26">
        <f t="shared" si="45"/>
        <v>0.47222222222222221</v>
      </c>
      <c r="I93" s="20"/>
      <c r="J93" s="20"/>
      <c r="K93" s="20"/>
      <c r="L93" s="20"/>
      <c r="M93" s="20"/>
      <c r="N93" s="20"/>
      <c r="O93" s="1"/>
    </row>
    <row r="94" spans="1:15" ht="14.25" customHeight="1">
      <c r="A94" s="48"/>
      <c r="B94" s="48"/>
      <c r="C94" s="81" t="s">
        <v>79</v>
      </c>
      <c r="D94" s="19" t="s">
        <v>27</v>
      </c>
      <c r="E94" s="19" t="s">
        <v>27</v>
      </c>
      <c r="F94" s="20">
        <v>0</v>
      </c>
      <c r="G94" s="20">
        <f t="shared" ref="G94:G96" si="46">F94</f>
        <v>0</v>
      </c>
      <c r="H94" s="20"/>
      <c r="I94" s="20"/>
      <c r="J94" s="20"/>
      <c r="K94" s="20"/>
      <c r="L94" s="20"/>
      <c r="M94" s="20"/>
      <c r="N94" s="20"/>
      <c r="O94" s="1"/>
    </row>
    <row r="95" spans="1:15" ht="14.25" customHeight="1">
      <c r="A95" s="48"/>
      <c r="B95" s="48"/>
      <c r="C95" s="48"/>
      <c r="D95" s="51" t="s">
        <v>90</v>
      </c>
      <c r="E95" s="19" t="s">
        <v>28</v>
      </c>
      <c r="F95" s="20">
        <v>40</v>
      </c>
      <c r="G95" s="20">
        <f t="shared" si="46"/>
        <v>40</v>
      </c>
      <c r="H95" s="20"/>
      <c r="I95" s="20"/>
      <c r="J95" s="20"/>
      <c r="K95" s="20"/>
      <c r="L95" s="20"/>
      <c r="M95" s="20"/>
      <c r="N95" s="20"/>
      <c r="O95" s="1"/>
    </row>
    <row r="96" spans="1:15" ht="14.25" customHeight="1">
      <c r="A96" s="48"/>
      <c r="B96" s="48"/>
      <c r="C96" s="48"/>
      <c r="D96" s="49"/>
      <c r="E96" s="19" t="s">
        <v>29</v>
      </c>
      <c r="F96" s="20">
        <v>40</v>
      </c>
      <c r="G96" s="20">
        <f t="shared" si="46"/>
        <v>40</v>
      </c>
      <c r="H96" s="20"/>
      <c r="I96" s="20"/>
      <c r="J96" s="20"/>
      <c r="K96" s="20"/>
      <c r="L96" s="20"/>
      <c r="M96" s="20"/>
      <c r="N96" s="20"/>
      <c r="O96" s="1"/>
    </row>
    <row r="97" spans="1:15" ht="14.25" customHeight="1">
      <c r="A97" s="48"/>
      <c r="B97" s="48"/>
      <c r="C97" s="48"/>
      <c r="D97" s="19" t="s">
        <v>30</v>
      </c>
      <c r="E97" s="19"/>
      <c r="F97" s="20">
        <v>55</v>
      </c>
      <c r="G97" s="20"/>
      <c r="H97" s="20">
        <f t="shared" ref="H97:H98" si="47">F97</f>
        <v>55</v>
      </c>
      <c r="I97" s="47"/>
      <c r="J97" s="20" t="s">
        <v>30</v>
      </c>
      <c r="K97" s="20" t="s">
        <v>41</v>
      </c>
      <c r="L97" s="20">
        <v>1</v>
      </c>
      <c r="M97" s="20"/>
      <c r="N97" s="20"/>
      <c r="O97" s="1"/>
    </row>
    <row r="98" spans="1:15" ht="14.25" customHeight="1">
      <c r="A98" s="48"/>
      <c r="B98" s="48"/>
      <c r="C98" s="48"/>
      <c r="D98" s="19" t="s">
        <v>33</v>
      </c>
      <c r="E98" s="19"/>
      <c r="F98" s="20">
        <v>10</v>
      </c>
      <c r="G98" s="20"/>
      <c r="H98" s="20">
        <f t="shared" si="47"/>
        <v>10</v>
      </c>
      <c r="I98" s="48"/>
      <c r="J98" s="20"/>
      <c r="K98" s="20" t="s">
        <v>32</v>
      </c>
      <c r="L98" s="20"/>
      <c r="M98" s="20">
        <v>1</v>
      </c>
      <c r="N98" s="20"/>
      <c r="O98" s="1"/>
    </row>
    <row r="99" spans="1:15" ht="14.25" customHeight="1">
      <c r="A99" s="48"/>
      <c r="B99" s="48"/>
      <c r="C99" s="48"/>
      <c r="D99" s="19" t="s">
        <v>34</v>
      </c>
      <c r="E99" s="19"/>
      <c r="F99" s="20">
        <v>35</v>
      </c>
      <c r="G99" s="20">
        <f>F99</f>
        <v>35</v>
      </c>
      <c r="H99" s="20"/>
      <c r="I99" s="49"/>
      <c r="J99" s="20"/>
      <c r="K99" s="20" t="s">
        <v>41</v>
      </c>
      <c r="L99" s="20"/>
      <c r="M99" s="20">
        <v>1</v>
      </c>
      <c r="N99" s="20"/>
      <c r="O99" s="1"/>
    </row>
    <row r="100" spans="1:15" ht="14.25" customHeight="1">
      <c r="A100" s="48"/>
      <c r="B100" s="48"/>
      <c r="C100" s="48"/>
      <c r="D100" s="50" t="s">
        <v>36</v>
      </c>
      <c r="E100" s="21" t="s">
        <v>37</v>
      </c>
      <c r="F100" s="22">
        <f t="shared" ref="F100:H100" si="48">SUM(F94:F99)</f>
        <v>180</v>
      </c>
      <c r="G100" s="22">
        <f t="shared" si="48"/>
        <v>115</v>
      </c>
      <c r="H100" s="22">
        <f t="shared" si="48"/>
        <v>65</v>
      </c>
      <c r="I100" s="20"/>
      <c r="J100" s="20"/>
      <c r="K100" s="20"/>
      <c r="L100" s="20"/>
      <c r="M100" s="20"/>
      <c r="N100" s="20"/>
      <c r="O100" s="1"/>
    </row>
    <row r="101" spans="1:15" ht="14.25" customHeight="1">
      <c r="A101" s="48"/>
      <c r="B101" s="48"/>
      <c r="C101" s="48"/>
      <c r="D101" s="48"/>
      <c r="E101" s="23" t="s">
        <v>38</v>
      </c>
      <c r="F101" s="24">
        <f t="shared" ref="F101:H101" si="49">F100/60</f>
        <v>3</v>
      </c>
      <c r="G101" s="24">
        <f t="shared" si="49"/>
        <v>1.9166666666666667</v>
      </c>
      <c r="H101" s="24">
        <f t="shared" si="49"/>
        <v>1.0833333333333333</v>
      </c>
      <c r="I101" s="20"/>
      <c r="J101" s="20"/>
      <c r="K101" s="20"/>
      <c r="L101" s="20"/>
      <c r="M101" s="20"/>
      <c r="N101" s="20"/>
      <c r="O101" s="1"/>
    </row>
    <row r="102" spans="1:15" ht="14.25" customHeight="1">
      <c r="A102" s="48"/>
      <c r="B102" s="48"/>
      <c r="C102" s="49"/>
      <c r="D102" s="49"/>
      <c r="E102" s="25" t="s">
        <v>39</v>
      </c>
      <c r="F102" s="22" t="s">
        <v>40</v>
      </c>
      <c r="G102" s="26">
        <f t="shared" ref="G102:H102" si="50">G100/$F100</f>
        <v>0.63888888888888884</v>
      </c>
      <c r="H102" s="26">
        <f t="shared" si="50"/>
        <v>0.3611111111111111</v>
      </c>
      <c r="I102" s="20"/>
      <c r="J102" s="20"/>
      <c r="K102" s="20"/>
      <c r="L102" s="20"/>
      <c r="M102" s="20"/>
      <c r="N102" s="20"/>
      <c r="O102" s="1"/>
    </row>
    <row r="103" spans="1:15" ht="14.25" customHeight="1">
      <c r="A103" s="48"/>
      <c r="B103" s="48"/>
      <c r="C103" s="81" t="s">
        <v>45</v>
      </c>
      <c r="D103" s="19" t="s">
        <v>27</v>
      </c>
      <c r="E103" s="19" t="s">
        <v>27</v>
      </c>
      <c r="F103" s="20">
        <v>0</v>
      </c>
      <c r="G103" s="20">
        <f t="shared" ref="G103:G104" si="51">F103</f>
        <v>0</v>
      </c>
      <c r="H103" s="20"/>
      <c r="I103" s="20"/>
      <c r="J103" s="20"/>
      <c r="K103" s="20"/>
      <c r="L103" s="20"/>
      <c r="M103" s="20"/>
      <c r="N103" s="20"/>
      <c r="O103" s="1"/>
    </row>
    <row r="104" spans="1:15" ht="14.25" customHeight="1">
      <c r="A104" s="48"/>
      <c r="B104" s="48"/>
      <c r="C104" s="48"/>
      <c r="D104" s="19" t="s">
        <v>90</v>
      </c>
      <c r="E104" s="19" t="s">
        <v>28</v>
      </c>
      <c r="F104" s="20">
        <v>40</v>
      </c>
      <c r="G104" s="20">
        <f t="shared" si="51"/>
        <v>40</v>
      </c>
      <c r="H104" s="20"/>
      <c r="I104" s="20"/>
      <c r="J104" s="20"/>
      <c r="K104" s="20"/>
      <c r="L104" s="20"/>
      <c r="M104" s="20"/>
      <c r="N104" s="28"/>
      <c r="O104" s="1"/>
    </row>
    <row r="105" spans="1:15" ht="14.25" customHeight="1">
      <c r="A105" s="48"/>
      <c r="B105" s="48"/>
      <c r="C105" s="48"/>
      <c r="D105" s="19" t="s">
        <v>46</v>
      </c>
      <c r="E105" s="19" t="s">
        <v>47</v>
      </c>
      <c r="F105" s="20">
        <v>140</v>
      </c>
      <c r="G105" s="20"/>
      <c r="H105" s="20">
        <f>F105</f>
        <v>140</v>
      </c>
      <c r="I105" s="20"/>
      <c r="J105" s="20" t="s">
        <v>43</v>
      </c>
      <c r="K105" s="20" t="s">
        <v>41</v>
      </c>
      <c r="L105" s="20">
        <v>1</v>
      </c>
      <c r="M105" s="20"/>
      <c r="N105" s="28">
        <v>0.1</v>
      </c>
      <c r="O105" s="1"/>
    </row>
    <row r="106" spans="1:15" ht="14.25" customHeight="1">
      <c r="A106" s="48"/>
      <c r="B106" s="48"/>
      <c r="C106" s="48"/>
      <c r="D106" s="50" t="s">
        <v>36</v>
      </c>
      <c r="E106" s="21" t="s">
        <v>37</v>
      </c>
      <c r="F106" s="22">
        <f t="shared" ref="F106:H106" si="52">SUM(F103:F105)</f>
        <v>180</v>
      </c>
      <c r="G106" s="22">
        <f t="shared" si="52"/>
        <v>40</v>
      </c>
      <c r="H106" s="22">
        <f t="shared" si="52"/>
        <v>140</v>
      </c>
      <c r="I106" s="20"/>
      <c r="J106" s="20"/>
      <c r="K106" s="20"/>
      <c r="L106" s="20"/>
      <c r="M106" s="20"/>
      <c r="N106" s="20"/>
      <c r="O106" s="1"/>
    </row>
    <row r="107" spans="1:15" ht="14.25" customHeight="1">
      <c r="A107" s="48"/>
      <c r="B107" s="48"/>
      <c r="C107" s="48"/>
      <c r="D107" s="48"/>
      <c r="E107" s="23" t="s">
        <v>38</v>
      </c>
      <c r="F107" s="24">
        <f t="shared" ref="F107:H107" si="53">F106/60</f>
        <v>3</v>
      </c>
      <c r="G107" s="24">
        <f t="shared" si="53"/>
        <v>0.66666666666666663</v>
      </c>
      <c r="H107" s="24">
        <f t="shared" si="53"/>
        <v>2.3333333333333335</v>
      </c>
      <c r="I107" s="20"/>
      <c r="J107" s="20"/>
      <c r="K107" s="20"/>
      <c r="L107" s="20"/>
      <c r="M107" s="20"/>
      <c r="N107" s="20"/>
      <c r="O107" s="1"/>
    </row>
    <row r="108" spans="1:15" ht="14.25" customHeight="1">
      <c r="A108" s="49"/>
      <c r="B108" s="49"/>
      <c r="C108" s="49"/>
      <c r="D108" s="49"/>
      <c r="E108" s="25" t="s">
        <v>39</v>
      </c>
      <c r="F108" s="22" t="s">
        <v>40</v>
      </c>
      <c r="G108" s="26">
        <f t="shared" ref="G108:H108" si="54">G106/$F106</f>
        <v>0.22222222222222221</v>
      </c>
      <c r="H108" s="26">
        <f t="shared" si="54"/>
        <v>0.77777777777777779</v>
      </c>
      <c r="I108" s="20"/>
      <c r="J108" s="20"/>
      <c r="K108" s="20"/>
      <c r="L108" s="20"/>
      <c r="M108" s="20"/>
      <c r="N108" s="20"/>
      <c r="O108" s="1"/>
    </row>
    <row r="109" spans="1:15" ht="14.25" customHeight="1">
      <c r="A109" s="98" t="s">
        <v>84</v>
      </c>
      <c r="B109" s="91" t="s">
        <v>83</v>
      </c>
      <c r="C109" s="91" t="s">
        <v>80</v>
      </c>
      <c r="D109" s="19" t="s">
        <v>27</v>
      </c>
      <c r="E109" s="19" t="s">
        <v>27</v>
      </c>
      <c r="F109" s="20">
        <v>0</v>
      </c>
      <c r="G109" s="20">
        <f t="shared" ref="G109:G111" si="55">F109</f>
        <v>0</v>
      </c>
      <c r="H109" s="20"/>
      <c r="I109" s="20"/>
      <c r="J109" s="20"/>
      <c r="K109" s="20"/>
      <c r="L109" s="20"/>
      <c r="M109" s="20"/>
      <c r="N109" s="20"/>
      <c r="O109" s="1"/>
    </row>
    <row r="110" spans="1:15" ht="14.25" customHeight="1">
      <c r="A110" s="48"/>
      <c r="B110" s="48"/>
      <c r="C110" s="48"/>
      <c r="D110" s="19" t="s">
        <v>90</v>
      </c>
      <c r="E110" s="19" t="s">
        <v>28</v>
      </c>
      <c r="F110" s="20">
        <v>40</v>
      </c>
      <c r="G110" s="20">
        <f t="shared" si="55"/>
        <v>40</v>
      </c>
      <c r="H110" s="20"/>
      <c r="I110" s="20"/>
      <c r="J110" s="20"/>
      <c r="K110" s="20"/>
      <c r="L110" s="20"/>
      <c r="M110" s="20"/>
      <c r="N110" s="20"/>
      <c r="O110" s="1"/>
    </row>
    <row r="111" spans="1:15" ht="14.25" customHeight="1">
      <c r="A111" s="48"/>
      <c r="B111" s="48"/>
      <c r="C111" s="48"/>
      <c r="D111" s="19" t="s">
        <v>30</v>
      </c>
      <c r="E111" s="19"/>
      <c r="F111" s="20">
        <v>45</v>
      </c>
      <c r="G111" s="20">
        <f t="shared" si="55"/>
        <v>45</v>
      </c>
      <c r="H111" s="20"/>
      <c r="I111" s="47"/>
      <c r="J111" s="20" t="s">
        <v>30</v>
      </c>
      <c r="K111" s="20" t="s">
        <v>41</v>
      </c>
      <c r="L111" s="20">
        <v>1</v>
      </c>
      <c r="M111" s="20"/>
      <c r="N111" s="20"/>
      <c r="O111" s="1"/>
    </row>
    <row r="112" spans="1:15" ht="14.25" customHeight="1">
      <c r="A112" s="48"/>
      <c r="B112" s="48"/>
      <c r="C112" s="48"/>
      <c r="D112" s="19" t="s">
        <v>33</v>
      </c>
      <c r="E112" s="19"/>
      <c r="F112" s="20">
        <v>10</v>
      </c>
      <c r="G112" s="20"/>
      <c r="H112" s="20">
        <f t="shared" ref="H112:H113" si="56">F112</f>
        <v>10</v>
      </c>
      <c r="I112" s="48"/>
      <c r="J112" s="20"/>
      <c r="K112" s="20" t="s">
        <v>32</v>
      </c>
      <c r="L112" s="20"/>
      <c r="M112" s="20">
        <v>1</v>
      </c>
      <c r="N112" s="20"/>
      <c r="O112" s="1"/>
    </row>
    <row r="113" spans="1:15" ht="14.25" customHeight="1">
      <c r="A113" s="48"/>
      <c r="B113" s="48"/>
      <c r="C113" s="48"/>
      <c r="D113" s="19" t="s">
        <v>42</v>
      </c>
      <c r="E113" s="19"/>
      <c r="F113" s="20">
        <v>70</v>
      </c>
      <c r="G113" s="20"/>
      <c r="H113" s="20">
        <f t="shared" si="56"/>
        <v>70</v>
      </c>
      <c r="I113" s="48"/>
      <c r="J113" s="20"/>
      <c r="K113" s="20" t="s">
        <v>41</v>
      </c>
      <c r="L113" s="20">
        <v>1</v>
      </c>
      <c r="M113" s="20"/>
      <c r="N113" s="20"/>
      <c r="O113" s="1"/>
    </row>
    <row r="114" spans="1:15" ht="14.25" customHeight="1">
      <c r="A114" s="48"/>
      <c r="B114" s="48"/>
      <c r="C114" s="48"/>
      <c r="D114" s="19" t="s">
        <v>34</v>
      </c>
      <c r="E114" s="19"/>
      <c r="F114" s="20">
        <v>15</v>
      </c>
      <c r="G114" s="20">
        <f>F114</f>
        <v>15</v>
      </c>
      <c r="H114" s="20"/>
      <c r="I114" s="49"/>
      <c r="J114" s="20"/>
      <c r="K114" s="20" t="s">
        <v>41</v>
      </c>
      <c r="L114" s="20"/>
      <c r="M114" s="20">
        <v>1</v>
      </c>
      <c r="N114" s="20"/>
      <c r="O114" s="1"/>
    </row>
    <row r="115" spans="1:15" ht="14.25" customHeight="1">
      <c r="A115" s="48"/>
      <c r="B115" s="48"/>
      <c r="C115" s="48"/>
      <c r="D115" s="50" t="s">
        <v>36</v>
      </c>
      <c r="E115" s="21" t="s">
        <v>37</v>
      </c>
      <c r="F115" s="22">
        <f t="shared" ref="F115:H115" si="57">SUM(F109:F114)</f>
        <v>180</v>
      </c>
      <c r="G115" s="22">
        <f t="shared" si="57"/>
        <v>100</v>
      </c>
      <c r="H115" s="22">
        <f t="shared" si="57"/>
        <v>80</v>
      </c>
      <c r="I115" s="19"/>
      <c r="J115" s="20"/>
      <c r="K115" s="20"/>
      <c r="L115" s="20"/>
      <c r="M115" s="20"/>
      <c r="N115" s="20"/>
      <c r="O115" s="1"/>
    </row>
    <row r="116" spans="1:15" ht="14.25" customHeight="1">
      <c r="A116" s="48"/>
      <c r="B116" s="48"/>
      <c r="C116" s="48"/>
      <c r="D116" s="48"/>
      <c r="E116" s="23" t="s">
        <v>38</v>
      </c>
      <c r="F116" s="24">
        <f t="shared" ref="F116:H116" si="58">F115/60</f>
        <v>3</v>
      </c>
      <c r="G116" s="24">
        <f t="shared" si="58"/>
        <v>1.6666666666666667</v>
      </c>
      <c r="H116" s="24">
        <f t="shared" si="58"/>
        <v>1.3333333333333333</v>
      </c>
      <c r="I116" s="19"/>
      <c r="J116" s="20"/>
      <c r="K116" s="20"/>
      <c r="L116" s="20"/>
      <c r="M116" s="20"/>
      <c r="N116" s="20"/>
      <c r="O116" s="1"/>
    </row>
    <row r="117" spans="1:15" ht="14.25" customHeight="1">
      <c r="A117" s="48"/>
      <c r="B117" s="48"/>
      <c r="C117" s="49"/>
      <c r="D117" s="49"/>
      <c r="E117" s="25" t="s">
        <v>39</v>
      </c>
      <c r="F117" s="22" t="s">
        <v>40</v>
      </c>
      <c r="G117" s="26">
        <f t="shared" ref="G117:H117" si="59">G115/$F115</f>
        <v>0.55555555555555558</v>
      </c>
      <c r="H117" s="26">
        <f t="shared" si="59"/>
        <v>0.44444444444444442</v>
      </c>
      <c r="I117" s="19"/>
      <c r="J117" s="20"/>
      <c r="K117" s="20"/>
      <c r="L117" s="20"/>
      <c r="M117" s="20"/>
      <c r="N117" s="20"/>
      <c r="O117" s="1"/>
    </row>
    <row r="118" spans="1:15" ht="14.25" customHeight="1">
      <c r="A118" s="48"/>
      <c r="B118" s="48"/>
      <c r="C118" s="91" t="s">
        <v>81</v>
      </c>
      <c r="D118" s="19" t="s">
        <v>44</v>
      </c>
      <c r="E118" s="19" t="s">
        <v>27</v>
      </c>
      <c r="F118" s="20">
        <v>0</v>
      </c>
      <c r="G118" s="20">
        <f t="shared" ref="G118:G121" si="60">F118</f>
        <v>0</v>
      </c>
      <c r="H118" s="20"/>
      <c r="I118" s="19"/>
      <c r="J118" s="20"/>
      <c r="K118" s="20"/>
      <c r="L118" s="20"/>
      <c r="M118" s="20"/>
      <c r="N118" s="20"/>
      <c r="O118" s="1"/>
    </row>
    <row r="119" spans="1:15" ht="14.25" customHeight="1">
      <c r="A119" s="48"/>
      <c r="B119" s="48"/>
      <c r="C119" s="48"/>
      <c r="D119" s="19" t="s">
        <v>90</v>
      </c>
      <c r="E119" s="19" t="s">
        <v>28</v>
      </c>
      <c r="F119" s="20">
        <v>40</v>
      </c>
      <c r="G119" s="20">
        <f t="shared" si="60"/>
        <v>40</v>
      </c>
      <c r="H119" s="20"/>
      <c r="I119" s="30"/>
      <c r="J119" s="20"/>
      <c r="K119" s="20"/>
      <c r="L119" s="20"/>
      <c r="M119" s="20"/>
      <c r="N119" s="20"/>
      <c r="O119" s="1"/>
    </row>
    <row r="120" spans="1:15" ht="14.25" customHeight="1">
      <c r="A120" s="48"/>
      <c r="B120" s="48"/>
      <c r="C120" s="48"/>
      <c r="D120" s="19" t="s">
        <v>30</v>
      </c>
      <c r="E120" s="19"/>
      <c r="F120" s="20">
        <v>45</v>
      </c>
      <c r="G120" s="20">
        <f t="shared" si="60"/>
        <v>45</v>
      </c>
      <c r="H120" s="20"/>
      <c r="I120" s="80"/>
      <c r="J120" s="20" t="s">
        <v>30</v>
      </c>
      <c r="K120" s="20" t="s">
        <v>41</v>
      </c>
      <c r="L120" s="20">
        <v>1</v>
      </c>
      <c r="M120" s="20"/>
      <c r="N120" s="20"/>
      <c r="O120" s="1"/>
    </row>
    <row r="121" spans="1:15" ht="14.25" customHeight="1">
      <c r="A121" s="48"/>
      <c r="B121" s="48"/>
      <c r="C121" s="48"/>
      <c r="D121" s="19" t="s">
        <v>33</v>
      </c>
      <c r="E121" s="19"/>
      <c r="F121" s="20">
        <v>15</v>
      </c>
      <c r="G121" s="20">
        <f t="shared" si="60"/>
        <v>15</v>
      </c>
      <c r="H121" s="20"/>
      <c r="I121" s="48"/>
      <c r="J121" s="20"/>
      <c r="K121" s="20" t="s">
        <v>41</v>
      </c>
      <c r="L121" s="20">
        <v>1</v>
      </c>
      <c r="M121" s="20"/>
      <c r="N121" s="20"/>
      <c r="O121" s="1"/>
    </row>
    <row r="122" spans="1:15" ht="14.25" customHeight="1">
      <c r="A122" s="48"/>
      <c r="B122" s="48"/>
      <c r="C122" s="48"/>
      <c r="D122" s="19" t="s">
        <v>82</v>
      </c>
      <c r="E122" s="19"/>
      <c r="F122" s="20">
        <v>65</v>
      </c>
      <c r="G122" s="20"/>
      <c r="H122" s="20">
        <f>F122</f>
        <v>65</v>
      </c>
      <c r="I122" s="48"/>
      <c r="J122" s="20"/>
      <c r="K122" s="20" t="s">
        <v>41</v>
      </c>
      <c r="L122" s="20">
        <v>1</v>
      </c>
      <c r="M122" s="20"/>
      <c r="N122" s="20"/>
      <c r="O122" s="1"/>
    </row>
    <row r="123" spans="1:15" ht="14.25" customHeight="1">
      <c r="A123" s="48"/>
      <c r="B123" s="48"/>
      <c r="C123" s="48"/>
      <c r="D123" s="19" t="s">
        <v>34</v>
      </c>
      <c r="E123" s="19"/>
      <c r="F123" s="20">
        <v>15</v>
      </c>
      <c r="G123" s="20">
        <f>F123</f>
        <v>15</v>
      </c>
      <c r="H123" s="20"/>
      <c r="I123" s="49"/>
      <c r="J123" s="20"/>
      <c r="K123" s="20" t="s">
        <v>41</v>
      </c>
      <c r="L123" s="20"/>
      <c r="M123" s="20">
        <v>1</v>
      </c>
      <c r="N123" s="20"/>
      <c r="O123" s="1"/>
    </row>
    <row r="124" spans="1:15" ht="14.25" customHeight="1">
      <c r="A124" s="48"/>
      <c r="B124" s="48"/>
      <c r="C124" s="48"/>
      <c r="D124" s="50" t="s">
        <v>36</v>
      </c>
      <c r="E124" s="21" t="s">
        <v>37</v>
      </c>
      <c r="F124" s="22">
        <f t="shared" ref="F124:H124" si="61">SUM(F118:F123)</f>
        <v>180</v>
      </c>
      <c r="G124" s="22">
        <f t="shared" si="61"/>
        <v>115</v>
      </c>
      <c r="H124" s="22">
        <f t="shared" si="61"/>
        <v>65</v>
      </c>
      <c r="I124" s="20"/>
      <c r="J124" s="20"/>
      <c r="K124" s="20"/>
      <c r="L124" s="20"/>
      <c r="M124" s="20"/>
      <c r="N124" s="20"/>
      <c r="O124" s="1"/>
    </row>
    <row r="125" spans="1:15" ht="14.25" customHeight="1">
      <c r="A125" s="48"/>
      <c r="B125" s="48"/>
      <c r="C125" s="48"/>
      <c r="D125" s="48"/>
      <c r="E125" s="23" t="s">
        <v>38</v>
      </c>
      <c r="F125" s="24">
        <f t="shared" ref="F125:H125" si="62">F124/60</f>
        <v>3</v>
      </c>
      <c r="G125" s="24">
        <f t="shared" si="62"/>
        <v>1.9166666666666667</v>
      </c>
      <c r="H125" s="24">
        <f t="shared" si="62"/>
        <v>1.0833333333333333</v>
      </c>
      <c r="I125" s="20"/>
      <c r="J125" s="20"/>
      <c r="K125" s="20"/>
      <c r="L125" s="20"/>
      <c r="M125" s="20"/>
      <c r="N125" s="20"/>
      <c r="O125" s="1"/>
    </row>
    <row r="126" spans="1:15" ht="14.25" customHeight="1">
      <c r="A126" s="48"/>
      <c r="B126" s="48"/>
      <c r="C126" s="49"/>
      <c r="D126" s="49"/>
      <c r="E126" s="25" t="s">
        <v>39</v>
      </c>
      <c r="F126" s="22" t="s">
        <v>40</v>
      </c>
      <c r="G126" s="26">
        <f t="shared" ref="G126:H126" si="63">G124/$F124</f>
        <v>0.63888888888888884</v>
      </c>
      <c r="H126" s="26">
        <f t="shared" si="63"/>
        <v>0.3611111111111111</v>
      </c>
      <c r="I126" s="20"/>
      <c r="J126" s="20"/>
      <c r="K126" s="20"/>
      <c r="L126" s="20"/>
      <c r="M126" s="20"/>
      <c r="N126" s="20"/>
      <c r="O126" s="1"/>
    </row>
    <row r="127" spans="1:15" ht="14.25" customHeight="1">
      <c r="A127" s="48"/>
      <c r="B127" s="48"/>
      <c r="C127" s="91" t="s">
        <v>85</v>
      </c>
      <c r="D127" s="19" t="s">
        <v>44</v>
      </c>
      <c r="E127" s="19" t="s">
        <v>27</v>
      </c>
      <c r="F127" s="20">
        <v>0</v>
      </c>
      <c r="G127" s="20">
        <f t="shared" ref="G127:G129" si="64">F127</f>
        <v>0</v>
      </c>
      <c r="H127" s="20"/>
      <c r="I127" s="20"/>
      <c r="J127" s="20"/>
      <c r="K127" s="20"/>
      <c r="L127" s="20"/>
      <c r="M127" s="20"/>
      <c r="N127" s="20"/>
      <c r="O127" s="1"/>
    </row>
    <row r="128" spans="1:15" ht="14.25" customHeight="1">
      <c r="A128" s="48"/>
      <c r="B128" s="48"/>
      <c r="C128" s="48"/>
      <c r="D128" s="19" t="s">
        <v>90</v>
      </c>
      <c r="E128" s="19" t="s">
        <v>28</v>
      </c>
      <c r="F128" s="20">
        <v>40</v>
      </c>
      <c r="G128" s="20">
        <f t="shared" si="64"/>
        <v>40</v>
      </c>
      <c r="H128" s="20"/>
      <c r="I128" s="20"/>
      <c r="J128" s="20"/>
      <c r="K128" s="20"/>
      <c r="L128" s="20"/>
      <c r="M128" s="20"/>
      <c r="N128" s="20"/>
      <c r="O128" s="1"/>
    </row>
    <row r="129" spans="1:15" ht="14.25" customHeight="1">
      <c r="A129" s="48"/>
      <c r="B129" s="48"/>
      <c r="C129" s="48"/>
      <c r="D129" s="19" t="s">
        <v>30</v>
      </c>
      <c r="E129" s="19"/>
      <c r="F129" s="20">
        <v>35</v>
      </c>
      <c r="G129" s="20">
        <f t="shared" si="64"/>
        <v>35</v>
      </c>
      <c r="H129" s="20"/>
      <c r="I129" s="47"/>
      <c r="J129" s="20" t="s">
        <v>30</v>
      </c>
      <c r="K129" s="20" t="s">
        <v>41</v>
      </c>
      <c r="L129" s="20">
        <v>1</v>
      </c>
      <c r="M129" s="20"/>
      <c r="N129" s="20"/>
      <c r="O129" s="1"/>
    </row>
    <row r="130" spans="1:15" ht="14.25" customHeight="1">
      <c r="A130" s="48"/>
      <c r="B130" s="48"/>
      <c r="C130" s="48"/>
      <c r="D130" s="19" t="s">
        <v>33</v>
      </c>
      <c r="E130" s="19"/>
      <c r="F130" s="20">
        <v>40</v>
      </c>
      <c r="G130" s="20"/>
      <c r="H130" s="20">
        <f t="shared" ref="H130:H131" si="65">F130</f>
        <v>40</v>
      </c>
      <c r="I130" s="48"/>
      <c r="J130" s="20"/>
      <c r="K130" s="20" t="s">
        <v>41</v>
      </c>
      <c r="L130" s="20"/>
      <c r="M130" s="20">
        <v>1</v>
      </c>
      <c r="N130" s="20"/>
      <c r="O130" s="1"/>
    </row>
    <row r="131" spans="1:15" ht="14.25" customHeight="1">
      <c r="A131" s="48"/>
      <c r="B131" s="48"/>
      <c r="C131" s="48"/>
      <c r="D131" s="19" t="s">
        <v>42</v>
      </c>
      <c r="E131" s="19"/>
      <c r="F131" s="20">
        <v>50</v>
      </c>
      <c r="G131" s="20"/>
      <c r="H131" s="20">
        <f t="shared" si="65"/>
        <v>50</v>
      </c>
      <c r="I131" s="48"/>
      <c r="J131" s="20"/>
      <c r="K131" s="20" t="s">
        <v>41</v>
      </c>
      <c r="L131" s="20">
        <v>1</v>
      </c>
      <c r="M131" s="20"/>
      <c r="N131" s="20"/>
      <c r="O131" s="1"/>
    </row>
    <row r="132" spans="1:15" ht="14.25" customHeight="1">
      <c r="A132" s="48"/>
      <c r="B132" s="48"/>
      <c r="C132" s="48"/>
      <c r="D132" s="19" t="s">
        <v>34</v>
      </c>
      <c r="E132" s="19"/>
      <c r="F132" s="20">
        <v>15</v>
      </c>
      <c r="G132" s="20">
        <f>F132</f>
        <v>15</v>
      </c>
      <c r="H132" s="20"/>
      <c r="I132" s="49"/>
      <c r="J132" s="20"/>
      <c r="K132" s="20" t="s">
        <v>41</v>
      </c>
      <c r="L132" s="20"/>
      <c r="M132" s="20">
        <v>1</v>
      </c>
      <c r="N132" s="20"/>
      <c r="O132" s="1"/>
    </row>
    <row r="133" spans="1:15" ht="14.25" customHeight="1">
      <c r="A133" s="48"/>
      <c r="B133" s="48"/>
      <c r="C133" s="48"/>
      <c r="D133" s="50" t="s">
        <v>36</v>
      </c>
      <c r="E133" s="21" t="s">
        <v>37</v>
      </c>
      <c r="F133" s="22">
        <f t="shared" ref="F133:H133" si="66">SUM(F127:F132)</f>
        <v>180</v>
      </c>
      <c r="G133" s="22">
        <f t="shared" si="66"/>
        <v>90</v>
      </c>
      <c r="H133" s="22">
        <f t="shared" si="66"/>
        <v>90</v>
      </c>
      <c r="I133" s="20"/>
      <c r="J133" s="20"/>
      <c r="K133" s="20"/>
      <c r="L133" s="20"/>
      <c r="M133" s="20"/>
      <c r="N133" s="20"/>
      <c r="O133" s="1"/>
    </row>
    <row r="134" spans="1:15" ht="14.25" customHeight="1">
      <c r="A134" s="48"/>
      <c r="B134" s="48"/>
      <c r="C134" s="48"/>
      <c r="D134" s="48"/>
      <c r="E134" s="23" t="s">
        <v>38</v>
      </c>
      <c r="F134" s="24">
        <f t="shared" ref="F134:H134" si="67">F133/60</f>
        <v>3</v>
      </c>
      <c r="G134" s="24">
        <f t="shared" si="67"/>
        <v>1.5</v>
      </c>
      <c r="H134" s="24">
        <f t="shared" si="67"/>
        <v>1.5</v>
      </c>
      <c r="I134" s="20"/>
      <c r="J134" s="20"/>
      <c r="K134" s="20"/>
      <c r="L134" s="20"/>
      <c r="M134" s="20"/>
      <c r="N134" s="20"/>
      <c r="O134" s="1"/>
    </row>
    <row r="135" spans="1:15" ht="14.25" customHeight="1">
      <c r="A135" s="48"/>
      <c r="B135" s="48"/>
      <c r="C135" s="49"/>
      <c r="D135" s="49"/>
      <c r="E135" s="25" t="s">
        <v>39</v>
      </c>
      <c r="F135" s="22" t="s">
        <v>40</v>
      </c>
      <c r="G135" s="26">
        <f t="shared" ref="G135:H135" si="68">G133/$F133</f>
        <v>0.5</v>
      </c>
      <c r="H135" s="26">
        <f t="shared" si="68"/>
        <v>0.5</v>
      </c>
      <c r="I135" s="20"/>
      <c r="J135" s="20"/>
      <c r="K135" s="20"/>
      <c r="L135" s="20"/>
      <c r="M135" s="20"/>
      <c r="N135" s="20"/>
      <c r="O135" s="1"/>
    </row>
    <row r="136" spans="1:15" ht="14.25" customHeight="1">
      <c r="A136" s="48"/>
      <c r="B136" s="48"/>
      <c r="C136" s="91" t="s">
        <v>48</v>
      </c>
      <c r="D136" s="19" t="s">
        <v>44</v>
      </c>
      <c r="E136" s="19" t="s">
        <v>27</v>
      </c>
      <c r="F136" s="20">
        <v>0</v>
      </c>
      <c r="G136" s="20">
        <f t="shared" ref="G136:G137" si="69">F136</f>
        <v>0</v>
      </c>
      <c r="H136" s="20"/>
      <c r="I136" s="20"/>
      <c r="J136" s="20"/>
      <c r="K136" s="20"/>
      <c r="L136" s="20"/>
      <c r="M136" s="20"/>
      <c r="N136" s="20"/>
      <c r="O136" s="1"/>
    </row>
    <row r="137" spans="1:15" ht="14.25" customHeight="1">
      <c r="A137" s="48"/>
      <c r="B137" s="48"/>
      <c r="C137" s="48"/>
      <c r="D137" s="19" t="s">
        <v>90</v>
      </c>
      <c r="E137" s="19" t="s">
        <v>28</v>
      </c>
      <c r="F137" s="20">
        <v>40</v>
      </c>
      <c r="G137" s="20">
        <f t="shared" si="69"/>
        <v>40</v>
      </c>
      <c r="H137" s="20"/>
      <c r="I137" s="20"/>
      <c r="J137" s="28"/>
      <c r="K137" s="20"/>
      <c r="L137" s="28"/>
      <c r="M137" s="28"/>
      <c r="N137" s="28"/>
      <c r="O137" s="1"/>
    </row>
    <row r="138" spans="1:15" ht="14.25" customHeight="1">
      <c r="A138" s="48"/>
      <c r="B138" s="48"/>
      <c r="C138" s="48"/>
      <c r="D138" s="19" t="s">
        <v>49</v>
      </c>
      <c r="E138" s="19" t="s">
        <v>50</v>
      </c>
      <c r="F138" s="20">
        <v>140</v>
      </c>
      <c r="G138" s="20"/>
      <c r="H138" s="20">
        <f>F138</f>
        <v>140</v>
      </c>
      <c r="I138" s="20"/>
      <c r="J138" s="28"/>
      <c r="K138" s="20" t="s">
        <v>41</v>
      </c>
      <c r="L138" s="20">
        <v>1</v>
      </c>
      <c r="M138" s="28"/>
      <c r="N138" s="28">
        <v>0.1</v>
      </c>
      <c r="O138" s="1"/>
    </row>
    <row r="139" spans="1:15" ht="14.25" customHeight="1">
      <c r="A139" s="48"/>
      <c r="B139" s="48"/>
      <c r="C139" s="48"/>
      <c r="D139" s="50" t="s">
        <v>36</v>
      </c>
      <c r="E139" s="21" t="s">
        <v>37</v>
      </c>
      <c r="F139" s="22">
        <f t="shared" ref="F139:H139" si="70">SUM(F136:F138)</f>
        <v>180</v>
      </c>
      <c r="G139" s="22">
        <f t="shared" si="70"/>
        <v>40</v>
      </c>
      <c r="H139" s="22">
        <f t="shared" si="70"/>
        <v>140</v>
      </c>
      <c r="I139" s="20"/>
      <c r="J139" s="20"/>
      <c r="K139" s="20"/>
      <c r="L139" s="20"/>
      <c r="M139" s="20"/>
      <c r="N139" s="20"/>
      <c r="O139" s="1"/>
    </row>
    <row r="140" spans="1:15" ht="14.25" customHeight="1">
      <c r="A140" s="48"/>
      <c r="B140" s="48"/>
      <c r="C140" s="48"/>
      <c r="D140" s="48"/>
      <c r="E140" s="23" t="s">
        <v>38</v>
      </c>
      <c r="F140" s="24">
        <f t="shared" ref="F140:H140" si="71">F139/60</f>
        <v>3</v>
      </c>
      <c r="G140" s="24">
        <f t="shared" si="71"/>
        <v>0.66666666666666663</v>
      </c>
      <c r="H140" s="24">
        <f t="shared" si="71"/>
        <v>2.3333333333333335</v>
      </c>
      <c r="I140" s="20"/>
      <c r="J140" s="20"/>
      <c r="K140" s="20"/>
      <c r="L140" s="20"/>
      <c r="M140" s="20"/>
      <c r="N140" s="20"/>
      <c r="O140" s="1"/>
    </row>
    <row r="141" spans="1:15" ht="14.25" customHeight="1">
      <c r="A141" s="49"/>
      <c r="B141" s="49"/>
      <c r="C141" s="49"/>
      <c r="D141" s="49"/>
      <c r="E141" s="25" t="s">
        <v>39</v>
      </c>
      <c r="F141" s="22" t="s">
        <v>40</v>
      </c>
      <c r="G141" s="26">
        <f t="shared" ref="G141:H141" si="72">G139/$F139</f>
        <v>0.22222222222222221</v>
      </c>
      <c r="H141" s="26">
        <f t="shared" si="72"/>
        <v>0.77777777777777779</v>
      </c>
      <c r="I141" s="20"/>
      <c r="J141" s="20"/>
      <c r="K141" s="20"/>
      <c r="L141" s="20"/>
      <c r="M141" s="20"/>
      <c r="N141" s="20"/>
      <c r="O141" s="1"/>
    </row>
    <row r="142" spans="1:15" ht="14.25" customHeight="1">
      <c r="A142" s="99" t="s">
        <v>88</v>
      </c>
      <c r="B142" s="92" t="s">
        <v>75</v>
      </c>
      <c r="C142" s="92" t="s">
        <v>86</v>
      </c>
      <c r="D142" s="19" t="s">
        <v>27</v>
      </c>
      <c r="E142" s="19" t="s">
        <v>27</v>
      </c>
      <c r="F142" s="20">
        <v>0</v>
      </c>
      <c r="G142" s="20">
        <f t="shared" ref="G142:G144" si="73">F142</f>
        <v>0</v>
      </c>
      <c r="H142" s="20"/>
      <c r="I142" s="20"/>
      <c r="J142" s="20"/>
      <c r="K142" s="20"/>
      <c r="L142" s="20"/>
      <c r="M142" s="20"/>
      <c r="N142" s="20"/>
      <c r="O142" s="1"/>
    </row>
    <row r="143" spans="1:15" ht="14.25" customHeight="1">
      <c r="A143" s="48"/>
      <c r="B143" s="48"/>
      <c r="C143" s="48"/>
      <c r="D143" s="19" t="s">
        <v>90</v>
      </c>
      <c r="E143" s="19" t="s">
        <v>28</v>
      </c>
      <c r="F143" s="20">
        <v>40</v>
      </c>
      <c r="G143" s="20">
        <f t="shared" si="73"/>
        <v>40</v>
      </c>
      <c r="H143" s="20"/>
      <c r="I143" s="20"/>
      <c r="J143" s="20"/>
      <c r="K143" s="20"/>
      <c r="L143" s="20"/>
      <c r="M143" s="20"/>
      <c r="N143" s="20"/>
      <c r="O143" s="1"/>
    </row>
    <row r="144" spans="1:15" ht="14.25" customHeight="1">
      <c r="A144" s="48"/>
      <c r="B144" s="48"/>
      <c r="C144" s="48"/>
      <c r="D144" s="19" t="s">
        <v>30</v>
      </c>
      <c r="E144" s="19"/>
      <c r="F144" s="20">
        <v>45</v>
      </c>
      <c r="G144" s="20">
        <f t="shared" si="73"/>
        <v>45</v>
      </c>
      <c r="H144" s="20"/>
      <c r="I144" s="47"/>
      <c r="J144" s="20" t="s">
        <v>30</v>
      </c>
      <c r="K144" s="20" t="s">
        <v>41</v>
      </c>
      <c r="L144" s="20">
        <v>1</v>
      </c>
      <c r="M144" s="20"/>
      <c r="N144" s="20"/>
      <c r="O144" s="1"/>
    </row>
    <row r="145" spans="1:15" ht="14.25" customHeight="1">
      <c r="A145" s="48"/>
      <c r="B145" s="48"/>
      <c r="C145" s="48"/>
      <c r="D145" s="19" t="s">
        <v>33</v>
      </c>
      <c r="E145" s="19"/>
      <c r="F145" s="20">
        <v>10</v>
      </c>
      <c r="G145" s="20"/>
      <c r="H145" s="20">
        <f t="shared" ref="H145:H146" si="74">F145</f>
        <v>10</v>
      </c>
      <c r="I145" s="48"/>
      <c r="J145" s="20"/>
      <c r="K145" s="20" t="s">
        <v>32</v>
      </c>
      <c r="L145" s="20"/>
      <c r="M145" s="20">
        <v>1</v>
      </c>
      <c r="N145" s="20"/>
      <c r="O145" s="1"/>
    </row>
    <row r="146" spans="1:15" ht="14.25" customHeight="1">
      <c r="A146" s="48"/>
      <c r="B146" s="48"/>
      <c r="C146" s="48"/>
      <c r="D146" s="19" t="s">
        <v>42</v>
      </c>
      <c r="E146" s="19"/>
      <c r="F146" s="20">
        <v>60</v>
      </c>
      <c r="G146" s="20"/>
      <c r="H146" s="20">
        <f t="shared" si="74"/>
        <v>60</v>
      </c>
      <c r="I146" s="48"/>
      <c r="J146" s="20"/>
      <c r="K146" s="20" t="s">
        <v>41</v>
      </c>
      <c r="L146" s="20">
        <v>1</v>
      </c>
      <c r="M146" s="20"/>
      <c r="N146" s="20"/>
      <c r="O146" s="1"/>
    </row>
    <row r="147" spans="1:15" ht="14.25" customHeight="1">
      <c r="A147" s="48"/>
      <c r="B147" s="48"/>
      <c r="C147" s="48"/>
      <c r="D147" s="19" t="s">
        <v>34</v>
      </c>
      <c r="E147" s="19"/>
      <c r="F147" s="20">
        <v>25</v>
      </c>
      <c r="G147" s="20">
        <f>F147</f>
        <v>25</v>
      </c>
      <c r="H147" s="20"/>
      <c r="I147" s="49"/>
      <c r="J147" s="20"/>
      <c r="K147" s="20" t="s">
        <v>41</v>
      </c>
      <c r="L147" s="20"/>
      <c r="M147" s="20">
        <v>1</v>
      </c>
      <c r="N147" s="20"/>
      <c r="O147" s="1"/>
    </row>
    <row r="148" spans="1:15" ht="14.25" customHeight="1">
      <c r="A148" s="48"/>
      <c r="B148" s="48"/>
      <c r="C148" s="48"/>
      <c r="D148" s="50" t="s">
        <v>36</v>
      </c>
      <c r="E148" s="21" t="s">
        <v>37</v>
      </c>
      <c r="F148" s="22">
        <f t="shared" ref="F148:H148" si="75">SUM(F142:F147)</f>
        <v>180</v>
      </c>
      <c r="G148" s="22">
        <f t="shared" si="75"/>
        <v>110</v>
      </c>
      <c r="H148" s="22">
        <f t="shared" si="75"/>
        <v>70</v>
      </c>
      <c r="I148" s="19"/>
      <c r="J148" s="20"/>
      <c r="K148" s="20"/>
      <c r="L148" s="20"/>
      <c r="M148" s="20"/>
      <c r="N148" s="20"/>
      <c r="O148" s="1"/>
    </row>
    <row r="149" spans="1:15" ht="14.25" customHeight="1">
      <c r="A149" s="48"/>
      <c r="B149" s="48"/>
      <c r="C149" s="48"/>
      <c r="D149" s="48"/>
      <c r="E149" s="23" t="s">
        <v>38</v>
      </c>
      <c r="F149" s="24">
        <f t="shared" ref="F149:H149" si="76">F148/60</f>
        <v>3</v>
      </c>
      <c r="G149" s="24">
        <f t="shared" si="76"/>
        <v>1.8333333333333333</v>
      </c>
      <c r="H149" s="24">
        <f t="shared" si="76"/>
        <v>1.1666666666666667</v>
      </c>
      <c r="I149" s="19"/>
      <c r="J149" s="20"/>
      <c r="K149" s="20"/>
      <c r="L149" s="20"/>
      <c r="M149" s="20"/>
      <c r="N149" s="20"/>
      <c r="O149" s="1"/>
    </row>
    <row r="150" spans="1:15" ht="14.25" customHeight="1">
      <c r="A150" s="48"/>
      <c r="B150" s="48"/>
      <c r="C150" s="49"/>
      <c r="D150" s="49"/>
      <c r="E150" s="25" t="s">
        <v>39</v>
      </c>
      <c r="F150" s="22" t="s">
        <v>40</v>
      </c>
      <c r="G150" s="26">
        <f t="shared" ref="G150:H150" si="77">G148/$F148</f>
        <v>0.61111111111111116</v>
      </c>
      <c r="H150" s="26">
        <f t="shared" si="77"/>
        <v>0.3888888888888889</v>
      </c>
      <c r="I150" s="19"/>
      <c r="J150" s="20"/>
      <c r="K150" s="20"/>
      <c r="L150" s="20"/>
      <c r="M150" s="20"/>
      <c r="N150" s="20"/>
      <c r="O150" s="1"/>
    </row>
    <row r="151" spans="1:15" ht="14.25" customHeight="1">
      <c r="A151" s="48"/>
      <c r="B151" s="48"/>
      <c r="C151" s="92" t="s">
        <v>93</v>
      </c>
      <c r="D151" s="19" t="s">
        <v>27</v>
      </c>
      <c r="E151" s="19" t="s">
        <v>27</v>
      </c>
      <c r="F151" s="20">
        <v>0</v>
      </c>
      <c r="G151" s="20">
        <f t="shared" ref="G151:G152" si="78">F151</f>
        <v>0</v>
      </c>
      <c r="H151" s="20"/>
      <c r="I151" s="20"/>
      <c r="J151" s="20"/>
      <c r="K151" s="20"/>
      <c r="L151" s="20"/>
      <c r="M151" s="20"/>
      <c r="N151" s="20"/>
      <c r="O151" s="1"/>
    </row>
    <row r="152" spans="1:15" ht="14.25" customHeight="1">
      <c r="A152" s="48"/>
      <c r="B152" s="48"/>
      <c r="C152" s="48"/>
      <c r="D152" s="19" t="s">
        <v>90</v>
      </c>
      <c r="E152" s="19" t="s">
        <v>28</v>
      </c>
      <c r="F152" s="20">
        <v>40</v>
      </c>
      <c r="G152" s="20">
        <f t="shared" si="78"/>
        <v>40</v>
      </c>
      <c r="H152" s="20"/>
      <c r="I152" s="20"/>
      <c r="J152" s="20"/>
      <c r="K152" s="20"/>
      <c r="L152" s="20"/>
      <c r="M152" s="20"/>
      <c r="N152" s="20"/>
      <c r="O152" s="1"/>
    </row>
    <row r="153" spans="1:15" ht="14.25" customHeight="1">
      <c r="A153" s="48"/>
      <c r="B153" s="48"/>
      <c r="C153" s="48"/>
      <c r="D153" s="19" t="s">
        <v>30</v>
      </c>
      <c r="E153" s="19"/>
      <c r="F153" s="20">
        <v>40</v>
      </c>
      <c r="G153" s="20"/>
      <c r="H153" s="20">
        <f t="shared" ref="H153:H155" si="79">F153</f>
        <v>40</v>
      </c>
      <c r="I153" s="47"/>
      <c r="J153" s="20" t="s">
        <v>30</v>
      </c>
      <c r="K153" s="20" t="s">
        <v>41</v>
      </c>
      <c r="L153" s="20">
        <v>1</v>
      </c>
      <c r="M153" s="20"/>
      <c r="N153" s="20"/>
      <c r="O153" s="1"/>
    </row>
    <row r="154" spans="1:15" ht="14.25" customHeight="1">
      <c r="A154" s="48"/>
      <c r="B154" s="48"/>
      <c r="C154" s="48"/>
      <c r="D154" s="19" t="s">
        <v>33</v>
      </c>
      <c r="E154" s="19"/>
      <c r="F154" s="20">
        <v>35</v>
      </c>
      <c r="G154" s="20"/>
      <c r="H154" s="20">
        <f t="shared" si="79"/>
        <v>35</v>
      </c>
      <c r="I154" s="48"/>
      <c r="J154" s="20"/>
      <c r="K154" s="20" t="s">
        <v>41</v>
      </c>
      <c r="L154" s="20">
        <v>1</v>
      </c>
      <c r="M154" s="20"/>
      <c r="N154" s="20"/>
      <c r="O154" s="1"/>
    </row>
    <row r="155" spans="1:15" ht="14.25" customHeight="1">
      <c r="A155" s="48"/>
      <c r="B155" s="48"/>
      <c r="C155" s="48"/>
      <c r="D155" s="19" t="s">
        <v>42</v>
      </c>
      <c r="E155" s="19"/>
      <c r="F155" s="20">
        <v>50</v>
      </c>
      <c r="G155" s="20"/>
      <c r="H155" s="20">
        <f t="shared" si="79"/>
        <v>50</v>
      </c>
      <c r="I155" s="48"/>
      <c r="J155" s="20"/>
      <c r="K155" s="20" t="s">
        <v>41</v>
      </c>
      <c r="L155" s="20">
        <v>1</v>
      </c>
      <c r="M155" s="20"/>
      <c r="N155" s="20"/>
      <c r="O155" s="1"/>
    </row>
    <row r="156" spans="1:15" ht="14.25" customHeight="1">
      <c r="A156" s="48"/>
      <c r="B156" s="48"/>
      <c r="C156" s="48"/>
      <c r="D156" s="19" t="s">
        <v>34</v>
      </c>
      <c r="E156" s="19"/>
      <c r="F156" s="20">
        <v>15</v>
      </c>
      <c r="G156" s="20">
        <f>F156</f>
        <v>15</v>
      </c>
      <c r="H156" s="20"/>
      <c r="I156" s="49"/>
      <c r="J156" s="20"/>
      <c r="K156" s="20" t="s">
        <v>41</v>
      </c>
      <c r="L156" s="20"/>
      <c r="M156" s="20">
        <v>1</v>
      </c>
      <c r="N156" s="20"/>
      <c r="O156" s="1"/>
    </row>
    <row r="157" spans="1:15" ht="14.25" customHeight="1">
      <c r="A157" s="48"/>
      <c r="B157" s="48"/>
      <c r="C157" s="48"/>
      <c r="D157" s="50" t="s">
        <v>36</v>
      </c>
      <c r="E157" s="21" t="s">
        <v>37</v>
      </c>
      <c r="F157" s="22">
        <f t="shared" ref="F157:H157" si="80">SUM(F151:F156)</f>
        <v>180</v>
      </c>
      <c r="G157" s="22">
        <f t="shared" si="80"/>
        <v>55</v>
      </c>
      <c r="H157" s="22">
        <f t="shared" si="80"/>
        <v>125</v>
      </c>
      <c r="I157" s="20"/>
      <c r="J157" s="20"/>
      <c r="K157" s="20"/>
      <c r="L157" s="20"/>
      <c r="M157" s="20"/>
      <c r="N157" s="20"/>
      <c r="O157" s="1"/>
    </row>
    <row r="158" spans="1:15" ht="14.25" customHeight="1">
      <c r="A158" s="48"/>
      <c r="B158" s="48"/>
      <c r="C158" s="48"/>
      <c r="D158" s="48"/>
      <c r="E158" s="23" t="s">
        <v>38</v>
      </c>
      <c r="F158" s="24">
        <f t="shared" ref="F158:H158" si="81">F157/60</f>
        <v>3</v>
      </c>
      <c r="G158" s="24">
        <f t="shared" si="81"/>
        <v>0.91666666666666663</v>
      </c>
      <c r="H158" s="24">
        <f t="shared" si="81"/>
        <v>2.0833333333333335</v>
      </c>
      <c r="I158" s="19"/>
      <c r="J158" s="20"/>
      <c r="K158" s="20"/>
      <c r="L158" s="20"/>
      <c r="M158" s="20"/>
      <c r="N158" s="20"/>
      <c r="O158" s="1"/>
    </row>
    <row r="159" spans="1:15" ht="14.25" customHeight="1">
      <c r="A159" s="48"/>
      <c r="B159" s="48"/>
      <c r="C159" s="49"/>
      <c r="D159" s="49"/>
      <c r="E159" s="25" t="s">
        <v>39</v>
      </c>
      <c r="F159" s="22" t="s">
        <v>40</v>
      </c>
      <c r="G159" s="26">
        <f t="shared" ref="G159:H159" si="82">G157/$F157</f>
        <v>0.30555555555555558</v>
      </c>
      <c r="H159" s="26">
        <f t="shared" si="82"/>
        <v>0.69444444444444442</v>
      </c>
      <c r="I159" s="19"/>
      <c r="J159" s="20"/>
      <c r="K159" s="20"/>
      <c r="L159" s="20"/>
      <c r="M159" s="20"/>
      <c r="N159" s="20"/>
      <c r="O159" s="1"/>
    </row>
    <row r="160" spans="1:15" ht="14.25" customHeight="1">
      <c r="A160" s="48"/>
      <c r="B160" s="48"/>
      <c r="C160" s="92" t="s">
        <v>87</v>
      </c>
      <c r="D160" s="19" t="s">
        <v>27</v>
      </c>
      <c r="E160" s="19" t="s">
        <v>27</v>
      </c>
      <c r="F160" s="20">
        <v>0</v>
      </c>
      <c r="G160" s="20">
        <f t="shared" ref="G160:G161" si="83">F160</f>
        <v>0</v>
      </c>
      <c r="H160" s="20"/>
      <c r="I160" s="20"/>
      <c r="J160" s="20"/>
      <c r="K160" s="20"/>
      <c r="L160" s="20"/>
      <c r="M160" s="20"/>
      <c r="N160" s="20"/>
      <c r="O160" s="1"/>
    </row>
    <row r="161" spans="1:15" ht="14.25" customHeight="1">
      <c r="A161" s="48"/>
      <c r="B161" s="48"/>
      <c r="C161" s="48"/>
      <c r="D161" s="19" t="s">
        <v>90</v>
      </c>
      <c r="E161" s="19" t="s">
        <v>28</v>
      </c>
      <c r="F161" s="20">
        <v>40</v>
      </c>
      <c r="G161" s="20">
        <f t="shared" si="83"/>
        <v>40</v>
      </c>
      <c r="H161" s="20"/>
      <c r="I161" s="20"/>
      <c r="J161" s="20"/>
      <c r="K161" s="20"/>
      <c r="L161" s="20"/>
      <c r="M161" s="20"/>
      <c r="N161" s="20"/>
      <c r="O161" s="1"/>
    </row>
    <row r="162" spans="1:15" ht="14.25" customHeight="1">
      <c r="A162" s="48"/>
      <c r="B162" s="48"/>
      <c r="C162" s="48"/>
      <c r="D162" s="19" t="s">
        <v>30</v>
      </c>
      <c r="E162" s="19"/>
      <c r="F162" s="20">
        <v>60</v>
      </c>
      <c r="G162" s="20"/>
      <c r="H162" s="20">
        <f t="shared" ref="H162:H164" si="84">F162</f>
        <v>60</v>
      </c>
      <c r="I162" s="47"/>
      <c r="J162" s="20" t="s">
        <v>30</v>
      </c>
      <c r="K162" s="20" t="s">
        <v>41</v>
      </c>
      <c r="L162" s="20">
        <v>1</v>
      </c>
      <c r="M162" s="20"/>
      <c r="N162" s="20"/>
      <c r="O162" s="1"/>
    </row>
    <row r="163" spans="1:15" ht="14.25" customHeight="1">
      <c r="A163" s="48"/>
      <c r="B163" s="48"/>
      <c r="C163" s="48"/>
      <c r="D163" s="19" t="s">
        <v>33</v>
      </c>
      <c r="E163" s="19"/>
      <c r="F163" s="20">
        <v>10</v>
      </c>
      <c r="G163" s="20"/>
      <c r="H163" s="20">
        <f t="shared" si="84"/>
        <v>10</v>
      </c>
      <c r="I163" s="48"/>
      <c r="J163" s="20"/>
      <c r="K163" s="20" t="s">
        <v>32</v>
      </c>
      <c r="L163" s="20"/>
      <c r="M163" s="20">
        <v>1</v>
      </c>
      <c r="N163" s="20"/>
      <c r="O163" s="1"/>
    </row>
    <row r="164" spans="1:15" ht="14.25" customHeight="1">
      <c r="A164" s="48"/>
      <c r="B164" s="48"/>
      <c r="C164" s="48"/>
      <c r="D164" s="19" t="s">
        <v>42</v>
      </c>
      <c r="E164" s="19"/>
      <c r="F164" s="20">
        <v>55</v>
      </c>
      <c r="G164" s="20"/>
      <c r="H164" s="20">
        <f t="shared" si="84"/>
        <v>55</v>
      </c>
      <c r="I164" s="48"/>
      <c r="J164" s="20"/>
      <c r="K164" s="20" t="s">
        <v>41</v>
      </c>
      <c r="L164" s="20">
        <v>1</v>
      </c>
      <c r="M164" s="20"/>
      <c r="N164" s="20"/>
      <c r="O164" s="1"/>
    </row>
    <row r="165" spans="1:15" ht="14.25" customHeight="1">
      <c r="A165" s="48"/>
      <c r="B165" s="48"/>
      <c r="C165" s="48"/>
      <c r="D165" s="19" t="s">
        <v>34</v>
      </c>
      <c r="E165" s="19"/>
      <c r="F165" s="20">
        <v>15</v>
      </c>
      <c r="G165" s="20">
        <f>F165</f>
        <v>15</v>
      </c>
      <c r="H165" s="20"/>
      <c r="I165" s="49"/>
      <c r="J165" s="20"/>
      <c r="K165" s="20" t="s">
        <v>41</v>
      </c>
      <c r="L165" s="20"/>
      <c r="M165" s="20">
        <v>1</v>
      </c>
      <c r="N165" s="20"/>
      <c r="O165" s="1"/>
    </row>
    <row r="166" spans="1:15" ht="14.25" customHeight="1">
      <c r="A166" s="48"/>
      <c r="B166" s="48"/>
      <c r="C166" s="48"/>
      <c r="D166" s="50" t="s">
        <v>36</v>
      </c>
      <c r="E166" s="21" t="s">
        <v>37</v>
      </c>
      <c r="F166" s="22">
        <f t="shared" ref="F166:H166" si="85">SUM(F160:F165)</f>
        <v>180</v>
      </c>
      <c r="G166" s="22">
        <f t="shared" si="85"/>
        <v>55</v>
      </c>
      <c r="H166" s="22">
        <f t="shared" si="85"/>
        <v>125</v>
      </c>
      <c r="I166" s="19"/>
      <c r="J166" s="20"/>
      <c r="K166" s="20"/>
      <c r="L166" s="20"/>
      <c r="M166" s="20"/>
      <c r="N166" s="20"/>
      <c r="O166" s="1"/>
    </row>
    <row r="167" spans="1:15" ht="14.25" customHeight="1">
      <c r="A167" s="48"/>
      <c r="B167" s="48"/>
      <c r="C167" s="48"/>
      <c r="D167" s="48"/>
      <c r="E167" s="23" t="s">
        <v>38</v>
      </c>
      <c r="F167" s="24">
        <f t="shared" ref="F167:H167" si="86">F166/60</f>
        <v>3</v>
      </c>
      <c r="G167" s="24">
        <f t="shared" si="86"/>
        <v>0.91666666666666663</v>
      </c>
      <c r="H167" s="24">
        <f t="shared" si="86"/>
        <v>2.0833333333333335</v>
      </c>
      <c r="I167" s="19"/>
      <c r="J167" s="20"/>
      <c r="K167" s="20"/>
      <c r="L167" s="20"/>
      <c r="M167" s="20"/>
      <c r="N167" s="20"/>
      <c r="O167" s="1"/>
    </row>
    <row r="168" spans="1:15" ht="14.25" customHeight="1">
      <c r="A168" s="48"/>
      <c r="B168" s="48"/>
      <c r="C168" s="49"/>
      <c r="D168" s="49"/>
      <c r="E168" s="25" t="s">
        <v>39</v>
      </c>
      <c r="F168" s="22" t="s">
        <v>40</v>
      </c>
      <c r="G168" s="26">
        <f t="shared" ref="G168:H168" si="87">G166/$F166</f>
        <v>0.30555555555555558</v>
      </c>
      <c r="H168" s="26">
        <f t="shared" si="87"/>
        <v>0.69444444444444442</v>
      </c>
      <c r="I168" s="19"/>
      <c r="J168" s="20"/>
      <c r="K168" s="20"/>
      <c r="L168" s="20"/>
      <c r="M168" s="20"/>
      <c r="N168" s="20"/>
      <c r="O168" s="1"/>
    </row>
    <row r="169" spans="1:15" ht="14.25" customHeight="1">
      <c r="A169" s="48"/>
      <c r="B169" s="48"/>
      <c r="C169" s="92" t="s">
        <v>89</v>
      </c>
      <c r="D169" s="19" t="s">
        <v>27</v>
      </c>
      <c r="E169" s="19" t="s">
        <v>27</v>
      </c>
      <c r="F169" s="20">
        <v>0</v>
      </c>
      <c r="G169" s="20">
        <f t="shared" ref="G169:G170" si="88">F169</f>
        <v>0</v>
      </c>
      <c r="H169" s="20"/>
      <c r="I169" s="19"/>
      <c r="J169" s="20"/>
      <c r="K169" s="20"/>
      <c r="L169" s="20"/>
      <c r="M169" s="20"/>
      <c r="N169" s="20"/>
      <c r="O169" s="1"/>
    </row>
    <row r="170" spans="1:15" ht="14.25" customHeight="1">
      <c r="A170" s="48"/>
      <c r="B170" s="48"/>
      <c r="C170" s="48"/>
      <c r="D170" s="19" t="s">
        <v>90</v>
      </c>
      <c r="E170" s="19" t="s">
        <v>28</v>
      </c>
      <c r="F170" s="20">
        <v>40</v>
      </c>
      <c r="G170" s="20">
        <f t="shared" si="88"/>
        <v>40</v>
      </c>
      <c r="H170" s="20"/>
      <c r="I170" s="19"/>
      <c r="J170" s="20"/>
      <c r="K170" s="20"/>
      <c r="L170" s="20"/>
      <c r="M170" s="20"/>
      <c r="N170" s="28"/>
      <c r="O170" s="1"/>
    </row>
    <row r="171" spans="1:15" ht="14.25" customHeight="1">
      <c r="A171" s="48"/>
      <c r="B171" s="48"/>
      <c r="C171" s="48"/>
      <c r="D171" s="19" t="s">
        <v>51</v>
      </c>
      <c r="E171" s="19"/>
      <c r="F171" s="20">
        <v>120</v>
      </c>
      <c r="G171" s="20"/>
      <c r="H171" s="20">
        <f>F171</f>
        <v>120</v>
      </c>
      <c r="I171" s="47"/>
      <c r="J171" s="20"/>
      <c r="K171" s="20" t="s">
        <v>41</v>
      </c>
      <c r="L171" s="20">
        <v>1</v>
      </c>
      <c r="M171" s="20"/>
      <c r="N171" s="28">
        <v>0.1</v>
      </c>
      <c r="O171" s="1"/>
    </row>
    <row r="172" spans="1:15" ht="14.25" customHeight="1">
      <c r="A172" s="48"/>
      <c r="B172" s="48"/>
      <c r="C172" s="48"/>
      <c r="D172" s="19" t="s">
        <v>52</v>
      </c>
      <c r="E172" s="19" t="s">
        <v>53</v>
      </c>
      <c r="F172" s="20">
        <v>90</v>
      </c>
      <c r="G172" s="20">
        <f>F172</f>
        <v>90</v>
      </c>
      <c r="H172" s="20"/>
      <c r="I172" s="49"/>
      <c r="J172" s="20" t="s">
        <v>54</v>
      </c>
      <c r="K172" s="20" t="s">
        <v>41</v>
      </c>
      <c r="L172" s="20">
        <v>1</v>
      </c>
      <c r="M172" s="20"/>
      <c r="N172" s="20"/>
      <c r="O172" s="1"/>
    </row>
    <row r="173" spans="1:15" ht="14.25" customHeight="1">
      <c r="A173" s="48"/>
      <c r="B173" s="48"/>
      <c r="C173" s="48"/>
      <c r="D173" s="50" t="s">
        <v>36</v>
      </c>
      <c r="E173" s="21" t="s">
        <v>37</v>
      </c>
      <c r="F173" s="22">
        <f t="shared" ref="F173:H173" si="89">SUM(F169:F172)</f>
        <v>250</v>
      </c>
      <c r="G173" s="22">
        <f t="shared" si="89"/>
        <v>130</v>
      </c>
      <c r="H173" s="22">
        <f t="shared" si="89"/>
        <v>120</v>
      </c>
      <c r="I173" s="19"/>
      <c r="J173" s="20"/>
      <c r="K173" s="20"/>
      <c r="L173" s="20"/>
      <c r="M173" s="20"/>
      <c r="N173" s="20"/>
      <c r="O173" s="1"/>
    </row>
    <row r="174" spans="1:15" ht="14.25" customHeight="1">
      <c r="A174" s="48"/>
      <c r="B174" s="48"/>
      <c r="C174" s="48"/>
      <c r="D174" s="48"/>
      <c r="E174" s="23" t="s">
        <v>38</v>
      </c>
      <c r="F174" s="24">
        <f t="shared" ref="F174:H174" si="90">F173/60</f>
        <v>4.166666666666667</v>
      </c>
      <c r="G174" s="24">
        <f t="shared" si="90"/>
        <v>2.1666666666666665</v>
      </c>
      <c r="H174" s="24">
        <f t="shared" si="90"/>
        <v>2</v>
      </c>
      <c r="I174" s="19"/>
      <c r="J174" s="20"/>
      <c r="K174" s="20"/>
      <c r="L174" s="20"/>
      <c r="M174" s="20"/>
      <c r="N174" s="20"/>
      <c r="O174" s="1"/>
    </row>
    <row r="175" spans="1:15" ht="14.25" customHeight="1">
      <c r="A175" s="49"/>
      <c r="B175" s="49"/>
      <c r="C175" s="49"/>
      <c r="D175" s="49"/>
      <c r="E175" s="25" t="s">
        <v>39</v>
      </c>
      <c r="F175" s="22" t="s">
        <v>40</v>
      </c>
      <c r="G175" s="26">
        <f t="shared" ref="G175:H175" si="91">G173/$F173</f>
        <v>0.52</v>
      </c>
      <c r="H175" s="26">
        <f t="shared" si="91"/>
        <v>0.48</v>
      </c>
      <c r="I175" s="19"/>
      <c r="J175" s="20"/>
      <c r="K175" s="20"/>
      <c r="L175" s="20"/>
      <c r="M175" s="20"/>
      <c r="N175" s="20"/>
      <c r="O175" s="1"/>
    </row>
    <row r="176" spans="1:15" ht="6.75" customHeight="1">
      <c r="A176" s="31"/>
      <c r="B176" s="31"/>
      <c r="C176" s="32"/>
      <c r="D176" s="1"/>
      <c r="E176" s="1"/>
      <c r="F176" s="1"/>
      <c r="G176" s="1"/>
      <c r="H176" s="1"/>
      <c r="I176" s="1"/>
      <c r="J176" s="1"/>
      <c r="K176" s="33"/>
      <c r="L176" s="34"/>
      <c r="M176" s="34"/>
      <c r="N176" s="34"/>
      <c r="O176" s="1"/>
    </row>
    <row r="177" spans="1:16" ht="14.25" customHeight="1">
      <c r="A177" s="82" t="s">
        <v>55</v>
      </c>
      <c r="B177" s="83"/>
      <c r="C177" s="84"/>
      <c r="D177" s="35"/>
      <c r="E177" s="36"/>
      <c r="F177" s="37" t="s">
        <v>56</v>
      </c>
      <c r="G177" s="37" t="s">
        <v>57</v>
      </c>
      <c r="H177" s="37" t="s">
        <v>58</v>
      </c>
      <c r="I177" s="38"/>
      <c r="J177" s="38"/>
      <c r="K177" s="35"/>
      <c r="L177" s="39"/>
      <c r="M177" s="39"/>
      <c r="N177" s="40"/>
      <c r="O177" s="1"/>
      <c r="P177" s="1"/>
    </row>
    <row r="178" spans="1:16" ht="14.25" customHeight="1">
      <c r="A178" s="85"/>
      <c r="B178" s="86"/>
      <c r="C178" s="87"/>
      <c r="D178" s="50" t="s">
        <v>36</v>
      </c>
      <c r="E178" s="21" t="s">
        <v>37</v>
      </c>
      <c r="F178" s="22">
        <f>F15+F23+F31+F39+F47+F56+F65+F74+F83+F91+F100+F106+F115+F124+F133+F139+F148+F157+F166+F173</f>
        <v>3670</v>
      </c>
      <c r="G178" s="22">
        <f>G15+G23+G31+G39+G47+G56+G65+G74+G83+G91+G100+G106+G115+G124+G133+G139+G148+G157+G166+G173</f>
        <v>2015</v>
      </c>
      <c r="H178" s="22">
        <f>H15+H23+H31+H39+H47+H56+H65+H74+H83+H91+H100+H106+H115+H124+H133+H139+H148+H157+H166+H173</f>
        <v>1655</v>
      </c>
      <c r="I178" s="1"/>
      <c r="J178" s="1"/>
      <c r="K178" s="33"/>
      <c r="L178" s="34"/>
      <c r="M178" s="34"/>
      <c r="N178" s="41"/>
      <c r="O178" s="1"/>
      <c r="P178" s="1"/>
    </row>
    <row r="179" spans="1:16" ht="14.25" customHeight="1">
      <c r="A179" s="85"/>
      <c r="B179" s="86"/>
      <c r="C179" s="87"/>
      <c r="D179" s="48"/>
      <c r="E179" s="23" t="s">
        <v>38</v>
      </c>
      <c r="F179" s="24">
        <f t="shared" ref="F179:H179" si="92">F178/60</f>
        <v>61.166666666666664</v>
      </c>
      <c r="G179" s="24">
        <f t="shared" si="92"/>
        <v>33.583333333333336</v>
      </c>
      <c r="H179" s="24">
        <f t="shared" si="92"/>
        <v>27.583333333333332</v>
      </c>
      <c r="I179" s="1"/>
      <c r="J179" s="1"/>
      <c r="K179" s="33"/>
      <c r="L179" s="1"/>
      <c r="M179" s="1"/>
      <c r="N179" s="42"/>
      <c r="O179" s="1"/>
      <c r="P179" s="1"/>
    </row>
    <row r="180" spans="1:16" ht="14.25" customHeight="1">
      <c r="A180" s="85"/>
      <c r="B180" s="86"/>
      <c r="C180" s="87"/>
      <c r="D180" s="49"/>
      <c r="E180" s="25" t="s">
        <v>39</v>
      </c>
      <c r="F180" s="22" t="s">
        <v>40</v>
      </c>
      <c r="G180" s="26">
        <f t="shared" ref="G180:H180" si="93">G178/$F178</f>
        <v>0.54904632152588551</v>
      </c>
      <c r="H180" s="26">
        <f t="shared" si="93"/>
        <v>0.45095367847411444</v>
      </c>
      <c r="I180" s="1"/>
      <c r="J180" s="1"/>
      <c r="K180" s="33"/>
      <c r="L180" s="1"/>
      <c r="M180" s="1"/>
      <c r="N180" s="42"/>
      <c r="O180" s="1"/>
      <c r="P180" s="1"/>
    </row>
    <row r="181" spans="1:16" ht="14.25" customHeight="1">
      <c r="A181" s="85"/>
      <c r="B181" s="86"/>
      <c r="C181" s="87"/>
      <c r="D181" s="1"/>
      <c r="E181" s="1"/>
      <c r="F181" s="1"/>
      <c r="G181" s="1"/>
      <c r="H181" s="1"/>
      <c r="I181" s="1"/>
      <c r="J181" s="1"/>
      <c r="K181" s="34"/>
      <c r="L181" s="43" t="s">
        <v>59</v>
      </c>
      <c r="M181" s="43" t="s">
        <v>60</v>
      </c>
      <c r="N181" s="43" t="s">
        <v>56</v>
      </c>
      <c r="O181" s="1"/>
      <c r="P181" s="1"/>
    </row>
    <row r="182" spans="1:16" ht="14.25" customHeight="1">
      <c r="A182" s="85"/>
      <c r="B182" s="86"/>
      <c r="C182" s="87"/>
      <c r="D182" s="1"/>
      <c r="E182" s="1"/>
      <c r="F182" s="1"/>
      <c r="G182" s="1"/>
      <c r="H182" s="1"/>
      <c r="I182" s="79" t="s">
        <v>61</v>
      </c>
      <c r="J182" s="60"/>
      <c r="K182" s="61"/>
      <c r="L182" s="44">
        <f>SUM(L9:L175)</f>
        <v>40</v>
      </c>
      <c r="M182" s="44">
        <f>SUM(M9:M175)</f>
        <v>24</v>
      </c>
      <c r="N182" s="44">
        <f>L182+M182</f>
        <v>64</v>
      </c>
      <c r="O182" s="1"/>
      <c r="P182" s="1"/>
    </row>
    <row r="183" spans="1:16" ht="14.25" customHeight="1">
      <c r="A183" s="88"/>
      <c r="B183" s="89"/>
      <c r="C183" s="90"/>
      <c r="D183" s="45"/>
      <c r="E183" s="45"/>
      <c r="F183" s="45"/>
      <c r="G183" s="45"/>
      <c r="H183" s="45"/>
      <c r="I183" s="79" t="s">
        <v>62</v>
      </c>
      <c r="J183" s="60"/>
      <c r="K183" s="61"/>
      <c r="L183" s="46">
        <f t="shared" ref="L183:N183" si="94">L182/$N$182</f>
        <v>0.625</v>
      </c>
      <c r="M183" s="46">
        <f t="shared" si="94"/>
        <v>0.375</v>
      </c>
      <c r="N183" s="46">
        <f t="shared" si="94"/>
        <v>1</v>
      </c>
      <c r="O183" s="1"/>
      <c r="P183" s="1"/>
    </row>
    <row r="184" spans="1:16" ht="14.25" customHeight="1">
      <c r="A184" s="31"/>
      <c r="B184" s="31"/>
      <c r="C184" s="32"/>
      <c r="D184" s="1"/>
      <c r="E184" s="1"/>
      <c r="F184" s="1"/>
      <c r="G184" s="1"/>
      <c r="H184" s="1"/>
      <c r="I184" s="1"/>
      <c r="J184" s="1"/>
      <c r="K184" s="33"/>
      <c r="L184" s="1"/>
      <c r="M184" s="1"/>
      <c r="N184" s="1"/>
      <c r="O184" s="1"/>
      <c r="P184" s="1"/>
    </row>
    <row r="185" spans="1:16" ht="14.25" customHeight="1">
      <c r="A185" s="31"/>
      <c r="B185" s="31"/>
      <c r="C185" s="32"/>
      <c r="D185" s="1"/>
      <c r="E185" s="1"/>
      <c r="F185" s="1"/>
      <c r="G185" s="1"/>
      <c r="H185" s="1"/>
      <c r="I185" s="1"/>
      <c r="J185" s="1"/>
      <c r="K185" s="33"/>
      <c r="L185" s="1"/>
      <c r="M185" s="1"/>
      <c r="N185" s="1"/>
      <c r="O185" s="1"/>
      <c r="P185" s="1"/>
    </row>
    <row r="186" spans="1:16" ht="14.25" customHeight="1">
      <c r="A186" s="31"/>
      <c r="B186" s="31"/>
      <c r="C186" s="32"/>
      <c r="D186" s="1"/>
      <c r="E186" s="1"/>
      <c r="F186" s="1"/>
      <c r="G186" s="1"/>
      <c r="H186" s="1"/>
      <c r="I186" s="1"/>
      <c r="J186" s="1"/>
      <c r="K186" s="33"/>
      <c r="L186" s="1"/>
      <c r="M186" s="1"/>
      <c r="N186" s="1"/>
      <c r="O186" s="1"/>
      <c r="P186" s="1"/>
    </row>
  </sheetData>
  <mergeCells count="93">
    <mergeCell ref="C94:C102"/>
    <mergeCell ref="C18:C25"/>
    <mergeCell ref="C26:C33"/>
    <mergeCell ref="C42:C49"/>
    <mergeCell ref="A18:A49"/>
    <mergeCell ref="B18:B49"/>
    <mergeCell ref="A50:A108"/>
    <mergeCell ref="B51:B108"/>
    <mergeCell ref="D100:D102"/>
    <mergeCell ref="C103:C108"/>
    <mergeCell ref="D106:D108"/>
    <mergeCell ref="D31:D33"/>
    <mergeCell ref="C34:C41"/>
    <mergeCell ref="D39:D41"/>
    <mergeCell ref="D23:D25"/>
    <mergeCell ref="D56:D58"/>
    <mergeCell ref="C59:C67"/>
    <mergeCell ref="D65:D67"/>
    <mergeCell ref="C68:C76"/>
    <mergeCell ref="C50:C58"/>
    <mergeCell ref="C118:C126"/>
    <mergeCell ref="D124:D126"/>
    <mergeCell ref="C151:C159"/>
    <mergeCell ref="C160:C168"/>
    <mergeCell ref="D166:D168"/>
    <mergeCell ref="D173:D175"/>
    <mergeCell ref="A177:C183"/>
    <mergeCell ref="D178:D180"/>
    <mergeCell ref="C127:C135"/>
    <mergeCell ref="D133:D135"/>
    <mergeCell ref="C136:C141"/>
    <mergeCell ref="D139:D141"/>
    <mergeCell ref="C142:C150"/>
    <mergeCell ref="D148:D150"/>
    <mergeCell ref="D157:D159"/>
    <mergeCell ref="A109:A141"/>
    <mergeCell ref="B109:B141"/>
    <mergeCell ref="A142:A175"/>
    <mergeCell ref="B142:B175"/>
    <mergeCell ref="C109:C117"/>
    <mergeCell ref="C169:C175"/>
    <mergeCell ref="D74:D76"/>
    <mergeCell ref="C77:C85"/>
    <mergeCell ref="D83:D85"/>
    <mergeCell ref="C86:C93"/>
    <mergeCell ref="D91:D93"/>
    <mergeCell ref="D95:D96"/>
    <mergeCell ref="I129:I132"/>
    <mergeCell ref="I144:I147"/>
    <mergeCell ref="I153:I156"/>
    <mergeCell ref="I162:I165"/>
    <mergeCell ref="D115:D117"/>
    <mergeCell ref="I171:I172"/>
    <mergeCell ref="I182:K182"/>
    <mergeCell ref="I183:K183"/>
    <mergeCell ref="I61:I64"/>
    <mergeCell ref="I70:I73"/>
    <mergeCell ref="I79:I82"/>
    <mergeCell ref="I88:I90"/>
    <mergeCell ref="I97:I99"/>
    <mergeCell ref="I111:I114"/>
    <mergeCell ref="I120:I123"/>
    <mergeCell ref="C4:E4"/>
    <mergeCell ref="F4:N4"/>
    <mergeCell ref="A1:N1"/>
    <mergeCell ref="A2:B2"/>
    <mergeCell ref="C2:E2"/>
    <mergeCell ref="F2:N2"/>
    <mergeCell ref="A3:B3"/>
    <mergeCell ref="F3:N3"/>
    <mergeCell ref="A4:B4"/>
    <mergeCell ref="I7:J7"/>
    <mergeCell ref="K7:N7"/>
    <mergeCell ref="I12:I14"/>
    <mergeCell ref="A5:B5"/>
    <mergeCell ref="F5:N5"/>
    <mergeCell ref="A6:B6"/>
    <mergeCell ref="C6:N6"/>
    <mergeCell ref="A7:C7"/>
    <mergeCell ref="D7:E7"/>
    <mergeCell ref="F7:H7"/>
    <mergeCell ref="D10:D11"/>
    <mergeCell ref="C9:C17"/>
    <mergeCell ref="A9:A17"/>
    <mergeCell ref="B9:B17"/>
    <mergeCell ref="I52:I55"/>
    <mergeCell ref="D47:D49"/>
    <mergeCell ref="D15:D17"/>
    <mergeCell ref="D19:D20"/>
    <mergeCell ref="I21:I22"/>
    <mergeCell ref="I28:I30"/>
    <mergeCell ref="I36:I38"/>
    <mergeCell ref="I44:I4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monica</cp:lastModifiedBy>
  <dcterms:created xsi:type="dcterms:W3CDTF">2022-09-30T11:53:48Z</dcterms:created>
  <dcterms:modified xsi:type="dcterms:W3CDTF">2022-10-06T09:36:51Z</dcterms:modified>
</cp:coreProperties>
</file>